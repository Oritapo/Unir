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ctavio.soto\Desktop\UNIR\TESIS\Entregas\Actividad_1_22_Abril\Entrega_3\"/>
    </mc:Choice>
  </mc:AlternateContent>
  <bookViews>
    <workbookView xWindow="0" yWindow="0" windowWidth="22464" windowHeight="10404" tabRatio="500" firstSheet="4" activeTab="7"/>
  </bookViews>
  <sheets>
    <sheet name="📋 Inicio" sheetId="1" r:id="rId1"/>
    <sheet name="🗺️ Dominios" sheetId="2" r:id="rId2"/>
    <sheet name="📊 KPI_KRI" sheetId="3" r:id="rId3"/>
    <sheet name="🟢 Dashboard" sheetId="4" r:id="rId4"/>
    <sheet name="⚖️ Ley_21663" sheetId="5" r:id="rId5"/>
    <sheet name="📝 Auditoria_Gap" sheetId="7" r:id="rId6"/>
    <sheet name="🔗 NIST_NIS2_Xwalk" sheetId="6" r:id="rId7"/>
    <sheet name="📖 Glosario" sheetId="8" r:id="rId8"/>
    <sheet name="Hoja2" sheetId="10" r:id="rId9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3" i="7" l="1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E47" i="4"/>
  <c r="F47" i="4" s="1"/>
  <c r="F46" i="4"/>
  <c r="J46" i="4" s="1"/>
  <c r="J45" i="4"/>
  <c r="F45" i="4"/>
  <c r="F44" i="4"/>
  <c r="J44" i="4" s="1"/>
  <c r="J43" i="4"/>
  <c r="F43" i="4"/>
  <c r="F42" i="4"/>
  <c r="J42" i="4" s="1"/>
  <c r="J41" i="4"/>
  <c r="F41" i="4"/>
  <c r="F40" i="4"/>
  <c r="J40" i="4" s="1"/>
  <c r="J39" i="4"/>
  <c r="F39" i="4"/>
  <c r="F38" i="4"/>
  <c r="J38" i="4" s="1"/>
  <c r="J37" i="4"/>
  <c r="F37" i="4"/>
  <c r="F36" i="4"/>
  <c r="J36" i="4" s="1"/>
  <c r="J35" i="4"/>
  <c r="F35" i="4"/>
  <c r="F34" i="4"/>
  <c r="J34" i="4" s="1"/>
  <c r="J33" i="4"/>
  <c r="F33" i="4"/>
  <c r="F32" i="4"/>
  <c r="J32" i="4" s="1"/>
  <c r="J31" i="4"/>
  <c r="F31" i="4"/>
  <c r="F30" i="4"/>
  <c r="J30" i="4" s="1"/>
  <c r="J29" i="4"/>
  <c r="F29" i="4"/>
  <c r="F28" i="4"/>
  <c r="J28" i="4" s="1"/>
  <c r="J27" i="4"/>
  <c r="F27" i="4"/>
  <c r="F26" i="4"/>
  <c r="J26" i="4" s="1"/>
  <c r="J25" i="4"/>
  <c r="F25" i="4"/>
  <c r="F24" i="4"/>
  <c r="J24" i="4" s="1"/>
  <c r="J23" i="4"/>
  <c r="F23" i="4"/>
  <c r="F22" i="4"/>
  <c r="J22" i="4" s="1"/>
  <c r="J21" i="4"/>
  <c r="F21" i="4"/>
  <c r="F20" i="4"/>
  <c r="J20" i="4" s="1"/>
  <c r="J19" i="4"/>
  <c r="F19" i="4"/>
  <c r="F18" i="4"/>
  <c r="J18" i="4" s="1"/>
  <c r="J17" i="4"/>
  <c r="F17" i="4"/>
  <c r="F16" i="4"/>
  <c r="J16" i="4" s="1"/>
  <c r="J15" i="4"/>
  <c r="F15" i="4"/>
  <c r="F14" i="4"/>
  <c r="J14" i="4" s="1"/>
  <c r="J13" i="4"/>
  <c r="F13" i="4"/>
  <c r="F12" i="4"/>
  <c r="J12" i="4" s="1"/>
  <c r="J11" i="4"/>
  <c r="F11" i="4"/>
  <c r="F10" i="4"/>
  <c r="J10" i="4" s="1"/>
  <c r="J9" i="4"/>
  <c r="F9" i="4"/>
  <c r="F8" i="4"/>
  <c r="J8" i="4" s="1"/>
  <c r="J7" i="4"/>
  <c r="F7" i="4"/>
  <c r="F6" i="4"/>
  <c r="J6" i="4" s="1"/>
  <c r="J5" i="4"/>
  <c r="F5" i="4"/>
  <c r="F4" i="4"/>
  <c r="J4" i="4" s="1"/>
</calcChain>
</file>

<file path=xl/sharedStrings.xml><?xml version="1.0" encoding="utf-8"?>
<sst xmlns="http://schemas.openxmlformats.org/spreadsheetml/2006/main" count="1697" uniqueCount="892">
  <si>
    <t>MODELO DE AUDITORÍA DE CIBERSEGURIDAD</t>
  </si>
  <si>
    <t>Métricas de Cumplimiento Humanizadas — NIST CSF 2.0 · NIS2 · Ley N°21.663 Chile</t>
  </si>
  <si>
    <t>Autora:</t>
  </si>
  <si>
    <t>Yessica B. Bolívar Romero</t>
  </si>
  <si>
    <t>Programa:</t>
  </si>
  <si>
    <t>Máster en Ciberseguridad — UNIR</t>
  </si>
  <si>
    <t>Versión:</t>
  </si>
  <si>
    <t>v1.0 — Junio 2026</t>
  </si>
  <si>
    <t>Marcos:</t>
  </si>
  <si>
    <t>NIST CSF 2.0 · NIST SP 800-53 · NIS2 · Ley 21.663</t>
  </si>
  <si>
    <t>CONTENIDO DEL MODELO</t>
  </si>
  <si>
    <t>N°</t>
  </si>
  <si>
    <t>Hoja</t>
  </si>
  <si>
    <t>Descripción</t>
  </si>
  <si>
    <t>📋 Inicio</t>
  </si>
  <si>
    <t>Esta portada e índice del modelo</t>
  </si>
  <si>
    <t>🗺️ Dominios</t>
  </si>
  <si>
    <t>6 dominios NIST CSF 2.0 humanizados con descripción, Ley 21.663 y NIS2</t>
  </si>
  <si>
    <t>📊 KPI_KRI</t>
  </si>
  <si>
    <t>Catálogo completo de 48 indicadores KPI/KRI humanizados por dominio</t>
  </si>
  <si>
    <t>🟢 Dashboard</t>
  </si>
  <si>
    <t>Cuadro de mando con semáforo RAG y nivel de cumplimiento global</t>
  </si>
  <si>
    <t>⚖️ Ley_21663</t>
  </si>
  <si>
    <t>Alineación de controles con artículos de la Ley Marco chilena</t>
  </si>
  <si>
    <t>🔗 NIST_NIS2_Xwalk</t>
  </si>
  <si>
    <t>Matriz de alineación cruzada NIST CSF 2.0 ↔ NIS2</t>
  </si>
  <si>
    <t>📝 Auditoria_Gap</t>
  </si>
  <si>
    <t>Plantilla de auditoría de brechas con nivel de madurez (1–5)</t>
  </si>
  <si>
    <t>📖 Glosario</t>
  </si>
  <si>
    <t>Glosario de términos y siglas del modelo</t>
  </si>
  <si>
    <t>🗺️  DOMINIOS DE CONTROL — NIST CSF 2.0 HUMANIZADOS</t>
  </si>
  <si>
    <t>Cada dominio representa una función estratégica de ciberseguridad, expresada en lenguaje comprensible para la alta dirección y el directorio.</t>
  </si>
  <si>
    <t>ID Dominio</t>
  </si>
  <si>
    <t>Función NIST CSF 2.0</t>
  </si>
  <si>
    <t>Nombre Humanizado</t>
  </si>
  <si>
    <t>¿Qué significa para la organización?</t>
  </si>
  <si>
    <t>Pregunta ejecutiva clave</t>
  </si>
  <si>
    <t>Artículos Ley 21.663</t>
  </si>
  <si>
    <t>Artículos NIS2</t>
  </si>
  <si>
    <t>Color RAG referencia</t>
  </si>
  <si>
    <t>N° KPIs</t>
  </si>
  <si>
    <t>N° KRIs</t>
  </si>
  <si>
    <t>GV</t>
  </si>
  <si>
    <t>GOBERNAR</t>
  </si>
  <si>
    <t>¿Tiene la organización una estrategia de ciberseguridad aprobada por el directorio, con roles, responsabilidades y presupuesto definidos?</t>
  </si>
  <si>
    <t>¿Nuestro directorio está liderando activamente la seguridad digital de la empresa?</t>
  </si>
  <si>
    <t>Art. 3, 6, 7, 8, 9</t>
  </si>
  <si>
    <t>Art. 20, 21(2)</t>
  </si>
  <si>
    <t>Azul oscuro</t>
  </si>
  <si>
    <t>ID</t>
  </si>
  <si>
    <t>IDENTIFICAR</t>
  </si>
  <si>
    <t>¿Sabemos con precisión cuáles son nuestros activos críticos, qué riesgos enfrentamos y qué amenazas podrían impactarnos?</t>
  </si>
  <si>
    <t>¿Sabemos exactamente qué activos y datos debemos proteger y cuáles son nuestros mayores riesgos?</t>
  </si>
  <si>
    <t>Art. 4, 5, 10</t>
  </si>
  <si>
    <t>Art. 21(2)(a)</t>
  </si>
  <si>
    <t>Azul</t>
  </si>
  <si>
    <t>PR</t>
  </si>
  <si>
    <t>PROTEGER</t>
  </si>
  <si>
    <t>¿Contamos con controles técnicos y humanos (capacitación, accesos, cifrado) para reducir la probabilidad de un incidente?</t>
  </si>
  <si>
    <t>¿Estamos haciendo lo suficiente para que sea muy difícil que un atacante entre a nuestros sistemas?</t>
  </si>
  <si>
    <t>Art. 11, 12, 13</t>
  </si>
  <si>
    <t>Art. 21(2)(b)(c)(g)(h)</t>
  </si>
  <si>
    <t>Verde</t>
  </si>
  <si>
    <t>DE</t>
  </si>
  <si>
    <t>DETECTAR</t>
  </si>
  <si>
    <t>¿Tenemos capacidad para detectar oportunamente comportamientos anómalos, intrusiones o incidentes antes de que escalen?</t>
  </si>
  <si>
    <t>¿Seríamos capaces de detectar un ataque hoy, en tiempo real, antes de que cause daño mayor?</t>
  </si>
  <si>
    <t>Art. 14, 15</t>
  </si>
  <si>
    <t>Amarillo</t>
  </si>
  <si>
    <t>RS</t>
  </si>
  <si>
    <t>RESPONDER</t>
  </si>
  <si>
    <t>¿Tenemos un plan de respuesta probado, con equipos entrenados y capacidad de notificar a la autoridad (ANCI) en los plazos requeridos?</t>
  </si>
  <si>
    <t>¿Si nos atacan mañana, sabemos exactamente qué hacer, quién lo hace y en cuánto tiempo?</t>
  </si>
  <si>
    <t>Art. 16, 17, 18, 19</t>
  </si>
  <si>
    <t>Art. 23</t>
  </si>
  <si>
    <t>Naranja</t>
  </si>
  <si>
    <t>RC</t>
  </si>
  <si>
    <t>RECUPERAR</t>
  </si>
  <si>
    <t>¿Podemos restaurar operaciones críticas rápidamente tras un incidente y aprender para mejorar continuamente?</t>
  </si>
  <si>
    <t>¿Cuánto tiempo tardaríamos en recuperarnos de un ciberataque grave sin perder datos críticos ni continuidad de servicio?</t>
  </si>
  <si>
    <t>Art. 20, 21, 22</t>
  </si>
  <si>
    <t>Art. 21(2)(c)</t>
  </si>
  <si>
    <t>Verde oscuro</t>
  </si>
  <si>
    <t>📊  CATÁLOGO DE INDICADORES KPI / KRI — MÉTRICAS HUMANIZADAS</t>
  </si>
  <si>
    <t>KPI = indicador de desempeño (¿qué tan bien lo hacemos?). KRI = indicador de riesgo (¿qué tan expuestos estamos?). Semáforo: 🟢 ≥80% · 🟡 50-79% · 🔴 &lt;50%</t>
  </si>
  <si>
    <t>Dominio</t>
  </si>
  <si>
    <t>Tipo</t>
  </si>
  <si>
    <t>Nombre Humanizado del Indicador</t>
  </si>
  <si>
    <t>¿Qué mide en lenguaje simple?</t>
  </si>
  <si>
    <t>Fórmula de Cálculo</t>
  </si>
  <si>
    <t>Fuente de Datos</t>
  </si>
  <si>
    <t>Frecuencia</t>
  </si>
  <si>
    <t>🔴 Alerta (&lt;)</t>
  </si>
  <si>
    <t>🟡 Precaución</t>
  </si>
  <si>
    <t>🟢 Óptimo (≥)</t>
  </si>
  <si>
    <t>Alineación Ley 21.663</t>
  </si>
  <si>
    <t>Alineación NIS2</t>
  </si>
  <si>
    <t>GV-KPI-01</t>
  </si>
  <si>
    <t>KPI</t>
  </si>
  <si>
    <t>¿Tenemos estrategia de ciberseguridad aprobada?</t>
  </si>
  <si>
    <t>Porcentaje de políticas de ciberseguridad formalmente aprobadas por el directorio</t>
  </si>
  <si>
    <t>(N° políticas aprobadas / N° políticas requeridas) × 100</t>
  </si>
  <si>
    <t>Actas directorio / SGD</t>
  </si>
  <si>
    <t>Semestral</t>
  </si>
  <si>
    <t>&lt;50%</t>
  </si>
  <si>
    <t>50-79%</t>
  </si>
  <si>
    <t>≥80%</t>
  </si>
  <si>
    <t>Art. 6, 7</t>
  </si>
  <si>
    <t>Art. 20</t>
  </si>
  <si>
    <t>GV-KPI-02</t>
  </si>
  <si>
    <t>¿Tenemos presupuesto dedicado a seguridad?</t>
  </si>
  <si>
    <t>Porcentaje del presupuesto TI asignado específicamente a ciberseguridad</t>
  </si>
  <si>
    <t>(Presupuesto ciber / Presupuesto TI total) × 100</t>
  </si>
  <si>
    <t>ERP / Control de gestión</t>
  </si>
  <si>
    <t>Anual</t>
  </si>
  <si>
    <t>&lt;5%</t>
  </si>
  <si>
    <t>5-9%</t>
  </si>
  <si>
    <t>≥10%</t>
  </si>
  <si>
    <t>Art. 8</t>
  </si>
  <si>
    <t>Art. 21(2)</t>
  </si>
  <si>
    <t>GV-KPI-03</t>
  </si>
  <si>
    <t>¿El directorio recibe reportes de ciberseguridad?</t>
  </si>
  <si>
    <t>Frecuencia con que el directorio recibe informes formales de ciberseguridad</t>
  </si>
  <si>
    <t>N° reportes entregados al directorio en el período / N° reportes planificados</t>
  </si>
  <si>
    <t>Actas comité ciber</t>
  </si>
  <si>
    <t>Trimestral</t>
  </si>
  <si>
    <t>Art. 7, 9</t>
  </si>
  <si>
    <t>GV-KPI-04</t>
  </si>
  <si>
    <t>¿Están asignados los roles de ciberseguridad?</t>
  </si>
  <si>
    <t>Porcentaje de roles críticos de ciberseguridad cubiertos formalmente</t>
  </si>
  <si>
    <t>(Roles cubiertos / Roles requeridos en política) × 100</t>
  </si>
  <si>
    <t>RRHH / Org. chart</t>
  </si>
  <si>
    <t>&lt;60%</t>
  </si>
  <si>
    <t>60-79%</t>
  </si>
  <si>
    <t>Art. 6</t>
  </si>
  <si>
    <t>GV-KRI-01</t>
  </si>
  <si>
    <t>KRI</t>
  </si>
  <si>
    <t>¿Cuántas sanciones o alertas regulatorias recibimos?</t>
  </si>
  <si>
    <t>Número de observaciones o sanciones recibidas de la ANCI u organismos reguladores</t>
  </si>
  <si>
    <t>N° notificaciones regulatorias recibidas en el período</t>
  </si>
  <si>
    <t>ANCI / CMF / SUBTEL</t>
  </si>
  <si>
    <t>Mensual</t>
  </si>
  <si>
    <t>&gt;2</t>
  </si>
  <si>
    <t>&gt;0</t>
  </si>
  <si>
    <t>0</t>
  </si>
  <si>
    <t>Art. 9, 22</t>
  </si>
  <si>
    <t>Art. 32</t>
  </si>
  <si>
    <t>GV-KRI-02</t>
  </si>
  <si>
    <t>¿Qué tan madura es nuestra gobernanza de ciber?</t>
  </si>
  <si>
    <t>Nivel de madurez del modelo de gobernanza (escala 1 a 5)</t>
  </si>
  <si>
    <t>Puntuación obtenida en evaluación de madurez / 5 × 100</t>
  </si>
  <si>
    <t>Auditoría interna</t>
  </si>
  <si>
    <t>&lt;40%</t>
  </si>
  <si>
    <t>40-69%</t>
  </si>
  <si>
    <t>≥70%</t>
  </si>
  <si>
    <t>Art. 6, 8</t>
  </si>
  <si>
    <t>GV-KRI-03</t>
  </si>
  <si>
    <t>¿Cuántos incumplimientos de política interna hubo?</t>
  </si>
  <si>
    <t>Número de desviaciones detectadas respecto a políticas de seguridad internas</t>
  </si>
  <si>
    <t>N° desviaciones detectadas en auditorías internas del período</t>
  </si>
  <si>
    <t>Auditoría / SIEM</t>
  </si>
  <si>
    <t>&gt;10</t>
  </si>
  <si>
    <t>&gt;4</t>
  </si>
  <si>
    <t>0-4</t>
  </si>
  <si>
    <t>Art. 9</t>
  </si>
  <si>
    <t>ID-KPI-01</t>
  </si>
  <si>
    <t>¿Tenemos inventario actualizado de activos?</t>
  </si>
  <si>
    <t>Porcentaje de activos de información críticos inventariados y categorizados</t>
  </si>
  <si>
    <t>(Activos inventariados / Total activos estimados) × 100</t>
  </si>
  <si>
    <t>CMDB / Inventario</t>
  </si>
  <si>
    <t>Art. 4, 5</t>
  </si>
  <si>
    <t>ID-KPI-02</t>
  </si>
  <si>
    <t>¿Evaluamos el riesgo regularmente?</t>
  </si>
  <si>
    <t>Porcentaje de activos críticos con evaluación de riesgo vigente (&lt; 12 meses)</t>
  </si>
  <si>
    <t>(Activos con eval. riesgo vigente / Total activos críticos) × 100</t>
  </si>
  <si>
    <t>GRC / Auditoría</t>
  </si>
  <si>
    <t>Art. 10</t>
  </si>
  <si>
    <t>ID-KPI-03</t>
  </si>
  <si>
    <t>¿Mapeamos nuestras brechas de cumplimiento?</t>
  </si>
  <si>
    <t>Porcentaje de controles del catálogo evaluados con resultado documentado</t>
  </si>
  <si>
    <t>(Controles evaluados / Total controles del catálogo) × 100</t>
  </si>
  <si>
    <t>Herramienta GRC</t>
  </si>
  <si>
    <t>Art. 5</t>
  </si>
  <si>
    <t>ID-KPI-04</t>
  </si>
  <si>
    <t>¿Conocemos los riesgos de nuestra cadena de proveedores?</t>
  </si>
  <si>
    <t>Porcentaje de proveedores críticos con evaluación de riesgo cibernético</t>
  </si>
  <si>
    <t>(Proveedores evaluados / Total proveedores críticos) × 100</t>
  </si>
  <si>
    <t>Contratos / GRC</t>
  </si>
  <si>
    <t>Art. 4</t>
  </si>
  <si>
    <t>Art. 21(2)(d)</t>
  </si>
  <si>
    <t>ID-KRI-01</t>
  </si>
  <si>
    <t>¿Cuántas vulnerabilidades críticas conocidas tenemos sin resolver?</t>
  </si>
  <si>
    <t>Número de vulnerabilidades CVSS ≥7 sin remediar en activos críticos</t>
  </si>
  <si>
    <t>N° vulnerabilidades críticas abiertas &gt; 30 días</t>
  </si>
  <si>
    <t>Scanner vuln / SIEM</t>
  </si>
  <si>
    <t>Semanal</t>
  </si>
  <si>
    <t>&gt;20</t>
  </si>
  <si>
    <t>0-10</t>
  </si>
  <si>
    <t>ID-KRI-02</t>
  </si>
  <si>
    <t>¿Qué porcentaje de activos críticos NO están en el inventario?</t>
  </si>
  <si>
    <t>Proporción de activos críticos detectados que no figuran en el inventario oficial</t>
  </si>
  <si>
    <t>(Activos no inventariados / Total activos detectados) × 100</t>
  </si>
  <si>
    <t>Scan red / CMDB</t>
  </si>
  <si>
    <t>&gt;20%</t>
  </si>
  <si>
    <t>10-19%</t>
  </si>
  <si>
    <t>&lt;10%</t>
  </si>
  <si>
    <t>ID-KRI-03</t>
  </si>
  <si>
    <t>¿Cuántos riesgos altos siguen sin plan de tratamiento?</t>
  </si>
  <si>
    <t>Número de riesgos clasificados como altos sin plan de mitigación aprobado</t>
  </si>
  <si>
    <t>N° riesgos altos sin plan de acción en el registro de riesgos</t>
  </si>
  <si>
    <t>Registro de riesgos</t>
  </si>
  <si>
    <t>&gt;5</t>
  </si>
  <si>
    <t>0-2</t>
  </si>
  <si>
    <t>PR-KPI-01</t>
  </si>
  <si>
    <t>¿Cuánto del personal completó su capacitación de seguridad?</t>
  </si>
  <si>
    <t>Porcentaje del personal que completó la formación obligatoria de ciberseguridad</t>
  </si>
  <si>
    <t>(Empleados formados / Total empleados) × 100</t>
  </si>
  <si>
    <t>LMS / RRHH</t>
  </si>
  <si>
    <t>Art. 11</t>
  </si>
  <si>
    <t>Art. 21(2)(g)</t>
  </si>
  <si>
    <t>PR-KPI-02</t>
  </si>
  <si>
    <t>¿Tenemos autenticación robusta implementada?</t>
  </si>
  <si>
    <t>Porcentaje de sistemas críticos con autenticación multifactor (MFA) activa</t>
  </si>
  <si>
    <t>(Sistemas con MFA / Total sistemas críticos) × 100</t>
  </si>
  <si>
    <t>IAM / AD</t>
  </si>
  <si>
    <t>Art. 12</t>
  </si>
  <si>
    <t>Art. 21(2)(h)</t>
  </si>
  <si>
    <t>PR-KPI-03</t>
  </si>
  <si>
    <t>¿Parcheamos nuestros sistemas oportunamente?</t>
  </si>
  <si>
    <t>Porcentaje de parches críticos aplicados dentro de los plazos establecidos</t>
  </si>
  <si>
    <t>(Parches aplicados a tiempo / Total parches críticos) × 100</t>
  </si>
  <si>
    <t>SIEM / Patch Mgmt</t>
  </si>
  <si>
    <t>&lt;70%</t>
  </si>
  <si>
    <t>70-89%</t>
  </si>
  <si>
    <t>≥90%</t>
  </si>
  <si>
    <t>Art. 21(2)(b)</t>
  </si>
  <si>
    <t>PR-KPI-04</t>
  </si>
  <si>
    <t>¿Realizamos pruebas de penetración regularmente?</t>
  </si>
  <si>
    <t>Número de pruebas de penetración o ejercicios red team realizados en el año</t>
  </si>
  <si>
    <t>N° pentests / red team ejercicios completados en el período</t>
  </si>
  <si>
    <t>Informe pentests</t>
  </si>
  <si>
    <t>1</t>
  </si>
  <si>
    <t>≥2</t>
  </si>
  <si>
    <t>Art. 13</t>
  </si>
  <si>
    <t>PR-KPI-05</t>
  </si>
  <si>
    <t>¿Ciframos los datos sensibles en tránsito y en reposo?</t>
  </si>
  <si>
    <t>Porcentaje de datos sensibles protegidos con cifrado según política</t>
  </si>
  <si>
    <t>(Volumen datos cifrados / Total datos sensibles) × 100</t>
  </si>
  <si>
    <t>DLP / IAM</t>
  </si>
  <si>
    <t>PR-KRI-01</t>
  </si>
  <si>
    <t>¿Qué porcentaje del personal cayó en simulacros de phishing?</t>
  </si>
  <si>
    <t>Tasa de click en correos de phishing simulados (mayor = más riesgo humano)</t>
  </si>
  <si>
    <t>(Empleados que hicieron clic / Total empleados en simulacro) × 100</t>
  </si>
  <si>
    <t>Plataforma awareness</t>
  </si>
  <si>
    <t>PR-KRI-02</t>
  </si>
  <si>
    <t>¿Cuántos accesos privilegiados no están controlados?</t>
  </si>
  <si>
    <t>Número de cuentas con privilegios elevados sin revisión periódica vigente</t>
  </si>
  <si>
    <t>N° cuentas privilegiadas sin revisión en últimos 90 días</t>
  </si>
  <si>
    <t>PR-KRI-03</t>
  </si>
  <si>
    <t>¿Cuántos sistemas críticos no tienen backup verificado?</t>
  </si>
  <si>
    <t>Número de sistemas críticos sin backup verificado y exitoso reciente</t>
  </si>
  <si>
    <t>N° sistemas críticos sin backup verificado en últimos 7 días</t>
  </si>
  <si>
    <t>Backup system</t>
  </si>
  <si>
    <t>&gt;3</t>
  </si>
  <si>
    <t>DE-KPI-01</t>
  </si>
  <si>
    <t>¿Cuántos eventos analizó nuestro SIEM?</t>
  </si>
  <si>
    <t>Porcentaje de alertas SIEM analizadas y clasificadas respecto al total generado</t>
  </si>
  <si>
    <t>(Alertas analizadas / Total alertas generadas) × 100</t>
  </si>
  <si>
    <t>SIEM / SOC</t>
  </si>
  <si>
    <t>Diario</t>
  </si>
  <si>
    <t>Art. 14</t>
  </si>
  <si>
    <t>DE-KPI-02</t>
  </si>
  <si>
    <t>¿Qué tan rápido detectamos un incidente?</t>
  </si>
  <si>
    <t>Tiempo promedio desde que ocurre un incidente hasta que es detectado (MTTD)</t>
  </si>
  <si>
    <t>Suma tiempos detección / N° incidentes detectados (en horas)</t>
  </si>
  <si>
    <t>SIEM / Ticketing</t>
  </si>
  <si>
    <t>&gt;72h</t>
  </si>
  <si>
    <t>24-72h</t>
  </si>
  <si>
    <t>&lt;24h</t>
  </si>
  <si>
    <t>DE-KPI-03</t>
  </si>
  <si>
    <t>¿Cuántas fuentes de inteligencia de amenazas usamos?</t>
  </si>
  <si>
    <t>Número de fuentes de inteligencia de amenazas (CTI) activas integradas al SIEM</t>
  </si>
  <si>
    <t>N° feeds CTI activos integrados</t>
  </si>
  <si>
    <t>SIEM / TIP</t>
  </si>
  <si>
    <t>1-2</t>
  </si>
  <si>
    <t>≥3</t>
  </si>
  <si>
    <t>Art. 15</t>
  </si>
  <si>
    <t>DE-KPI-04</t>
  </si>
  <si>
    <t>¿Tenemos cobertura de monitoreo en activos críticos?</t>
  </si>
  <si>
    <t>Porcentaje de activos críticos cubiertos por monitoreo continuo (SIEM/EDR)</t>
  </si>
  <si>
    <t>(Activos monitoreados / Total activos críticos) × 100</t>
  </si>
  <si>
    <t>SIEM / EDR</t>
  </si>
  <si>
    <t>DE-KRI-01</t>
  </si>
  <si>
    <t>¿Cuántas alertas críticas quedaron sin investigar?</t>
  </si>
  <si>
    <t>Número de alertas de alta criticidad que no fueron investigadas en el período</t>
  </si>
  <si>
    <t>N° alertas críticas sin investigar en últimos 30 días</t>
  </si>
  <si>
    <t>DE-KRI-02</t>
  </si>
  <si>
    <t>¿Cuántas alertas fueron falsos positivos?</t>
  </si>
  <si>
    <t>Tasa de falsos positivos en alertas SIEM (alta = detector poco confiable)</t>
  </si>
  <si>
    <t>(Alertas falsas / Total alertas) × 100</t>
  </si>
  <si>
    <t>SIEM</t>
  </si>
  <si>
    <t>&gt;50%</t>
  </si>
  <si>
    <t>20-49%</t>
  </si>
  <si>
    <t>&lt;20%</t>
  </si>
  <si>
    <t>DE-KRI-03</t>
  </si>
  <si>
    <t>¿Cuánto tiempo pasa un atacante sin ser detectado?</t>
  </si>
  <si>
    <t>Tiempo promedio en que un incidente existió antes de ser detectado (dwell time)</t>
  </si>
  <si>
    <t>Suma dwell time incidentes / N° incidentes (en días)</t>
  </si>
  <si>
    <t>SIEM / IR</t>
  </si>
  <si>
    <t>&gt;30d</t>
  </si>
  <si>
    <t>7-30d</t>
  </si>
  <si>
    <t>&lt;7d</t>
  </si>
  <si>
    <t>RS-KPI-01</t>
  </si>
  <si>
    <t>¿Tenemos un plan de respuesta a incidentes probado?</t>
  </si>
  <si>
    <t>Porcentaje de completitud y actualización del plan de respuesta a incidentes</t>
  </si>
  <si>
    <t>Evaluación del plan (existencia + actualización + ejercicio) / 3 × 100</t>
  </si>
  <si>
    <t>Auditoría / CISO</t>
  </si>
  <si>
    <t>Art. 16, 17</t>
  </si>
  <si>
    <t>RS-KPI-02</t>
  </si>
  <si>
    <t>¿Reportamos incidentes en los plazos de ley?</t>
  </si>
  <si>
    <t>Porcentaje de incidentes notificados a la ANCI dentro del plazo legal (72h)</t>
  </si>
  <si>
    <t>(Incidentes notificados en plazo / Total incidentes notificables) × 100</t>
  </si>
  <si>
    <t>Registro IR / ANCI</t>
  </si>
  <si>
    <t>60-89%</t>
  </si>
  <si>
    <t>Art. 18, 19</t>
  </si>
  <si>
    <t>RS-KPI-03</t>
  </si>
  <si>
    <t>¿Cuánto tardamos en contener un incidente?</t>
  </si>
  <si>
    <t>Tiempo promedio desde detección hasta contención del incidente (MTTC)</t>
  </si>
  <si>
    <t>Suma tiempos contención / N° incidentes contenidos (en horas)</t>
  </si>
  <si>
    <t>&gt;24h</t>
  </si>
  <si>
    <t>8-24h</t>
  </si>
  <si>
    <t>&lt;8h</t>
  </si>
  <si>
    <t>Art. 16</t>
  </si>
  <si>
    <t>RS-KPI-04</t>
  </si>
  <si>
    <t>¿Realizamos ejercicios de simulación de crisis?</t>
  </si>
  <si>
    <t>Número de simulacros o ejercicios tabletop de respuesta a incidentes realizados</t>
  </si>
  <si>
    <t>N° ejercicios completados en el período</t>
  </si>
  <si>
    <t>Actas ejercicios</t>
  </si>
  <si>
    <t>Art. 17</t>
  </si>
  <si>
    <t>RS-KRI-01</t>
  </si>
  <si>
    <t>¿Cuántos incidentes graves tuvimos este período?</t>
  </si>
  <si>
    <t>Número de incidentes clasificados como críticos o de alto impacto</t>
  </si>
  <si>
    <t>N° incidentes críticos en el período</t>
  </si>
  <si>
    <t>RS-KRI-02</t>
  </si>
  <si>
    <t>¿Cuántos incidentes repetidos son del mismo tipo?</t>
  </si>
  <si>
    <t>Porcentaje de incidentes que se repiten por la misma causa raíz no resuelta</t>
  </si>
  <si>
    <t>(Incidentes recurrentes / Total incidentes) × 100</t>
  </si>
  <si>
    <t>Registro IR</t>
  </si>
  <si>
    <t>&gt;30%</t>
  </si>
  <si>
    <t>10-29%</t>
  </si>
  <si>
    <t>RS-KRI-03</t>
  </si>
  <si>
    <t>¿Cuántos incidentes no reportados a ANCI detectamos?</t>
  </si>
  <si>
    <t>Número de incidentes que debían reportarse a ANCI y no fueron reportados</t>
  </si>
  <si>
    <t>N° incidentes notificables no reportados detectados en revisión</t>
  </si>
  <si>
    <t>Auditoría / ANCI</t>
  </si>
  <si>
    <t>-</t>
  </si>
  <si>
    <t>RC-KPI-01</t>
  </si>
  <si>
    <t>¿Recuperamos operaciones dentro del tiempo objetivo (RTO)?</t>
  </si>
  <si>
    <t>Porcentaje de incidentes en que la recuperación se logró dentro del RTO definido</t>
  </si>
  <si>
    <t>(Recuperaciones en RTO / Total incidentes con RTO) × 100</t>
  </si>
  <si>
    <t>SIEM / BCP</t>
  </si>
  <si>
    <t>RC-KPI-02</t>
  </si>
  <si>
    <t>¿Nuestros backups se verifican exitosamente?</t>
  </si>
  <si>
    <t>Porcentaje de pruebas de restauración de backup ejecutadas exitosamente</t>
  </si>
  <si>
    <t>(Backups restaurados OK / Total pruebas de restauración) × 100</t>
  </si>
  <si>
    <t>&lt;80%</t>
  </si>
  <si>
    <t>80-94%</t>
  </si>
  <si>
    <t>≥95%</t>
  </si>
  <si>
    <t>RC-KPI-03</t>
  </si>
  <si>
    <t>¿Tenemos un plan de continuidad operacional vigente?</t>
  </si>
  <si>
    <t>Porcentaje de servicios críticos cubiertos por un plan BCP/DRP actualizado</t>
  </si>
  <si>
    <t>(Servicios con BCP/DRP vigente / Total servicios críticos) × 100</t>
  </si>
  <si>
    <t>BCP / DRP docs</t>
  </si>
  <si>
    <t>Art. 21</t>
  </si>
  <si>
    <t>RC-KPI-04</t>
  </si>
  <si>
    <t>¿Aprendemos de los incidentes para mejorar?</t>
  </si>
  <si>
    <t>Porcentaje de lecciones aprendidas de incidentes que generaron mejoras implementadas</t>
  </si>
  <si>
    <t>(Lecciones aprendidas implementadas / Total lecciones documentadas) × 100</t>
  </si>
  <si>
    <t>Registro IR / CISO</t>
  </si>
  <si>
    <t>Art. 22</t>
  </si>
  <si>
    <t>RC-KRI-01</t>
  </si>
  <si>
    <t>¿Cuánto tiempo tardamos en restaurar servicio (MTTR)?</t>
  </si>
  <si>
    <t>Tiempo promedio de recuperación total de servicios tras un incidente</t>
  </si>
  <si>
    <t>Suma tiempos recuperación / N° incidentes resueltos (en horas)</t>
  </si>
  <si>
    <t>&gt;48h</t>
  </si>
  <si>
    <t>8-48h</t>
  </si>
  <si>
    <t>RC-KRI-02</t>
  </si>
  <si>
    <t>¿Cuánto tiempo podemos estar sin datos críticos (RPO)?</t>
  </si>
  <si>
    <t>Tiempo máximo de pérdida de datos aceptable vs. RPO definido (adherencia)</t>
  </si>
  <si>
    <t>(Incidentes donde RPO fue cumplido / Total incidentes) × 100</t>
  </si>
  <si>
    <t>Backup / BCP</t>
  </si>
  <si>
    <t>RC-KRI-03</t>
  </si>
  <si>
    <t>¿Cuántos servicios críticos no tienen DRP?</t>
  </si>
  <si>
    <t>Número de servicios esenciales sin plan de recuperación ante desastres</t>
  </si>
  <si>
    <t>N° servicios críticos sin DRP vigente</t>
  </si>
  <si>
    <t>BCP / Auditoría</t>
  </si>
  <si>
    <t>&gt;1</t>
  </si>
  <si>
    <t>🟢  CUADRO DE MANDO EJECUTIVO DE CIBERSEGURIDAD</t>
  </si>
  <si>
    <t>Ingrese el valor de cumplimiento real (0-100%) para cada indicador. El semáforo se actualizará automáticamente.</t>
  </si>
  <si>
    <t>ID Indicador</t>
  </si>
  <si>
    <t>Valor Real (%)</t>
  </si>
  <si>
    <t>🚦 Semáforo</t>
  </si>
  <si>
    <t>Umbral Alerta</t>
  </si>
  <si>
    <t>Umbral Precaución</t>
  </si>
  <si>
    <t>Umbral Óptimo</t>
  </si>
  <si>
    <t>Estado Narrativo</t>
  </si>
  <si>
    <t>Prioridad</t>
  </si>
  <si>
    <t>Acción Recomendada</t>
  </si>
  <si>
    <t>Alta</t>
  </si>
  <si>
    <t>Revisar políticas pendientes de aprobación</t>
  </si>
  <si>
    <t>Solicitar incremento presupuestario al directorio</t>
  </si>
  <si>
    <t>Media</t>
  </si>
  <si>
    <t>Formalizar calendario de reportes ejecutivos</t>
  </si>
  <si>
    <t>Baja</t>
  </si>
  <si>
    <t>Mantener actualizado organigrama de ciber</t>
  </si>
  <si>
    <t>¿Cuántas sanciones regulatorias recibimos?</t>
  </si>
  <si>
    <t>Continuar monitoreo normativo ANCI</t>
  </si>
  <si>
    <t>Iniciar programa de madurez de gobernanza</t>
  </si>
  <si>
    <t>¿Cuántos incumplimientos de política hubo?</t>
  </si>
  <si>
    <t>Investigar causas de desviaciones detectadas</t>
  </si>
  <si>
    <t>Completar inventario de activos críticos</t>
  </si>
  <si>
    <t>Completar evaluaciones de riesgo pendientes</t>
  </si>
  <si>
    <t>Ejecutar gap analysis completo</t>
  </si>
  <si>
    <t>¿Conocemos los riesgos de proveedores críticos?</t>
  </si>
  <si>
    <t>Crítica</t>
  </si>
  <si>
    <t>Realizar evaluación urgente de proveedores críticos</t>
  </si>
  <si>
    <t>¿Cuántas vulnerabilidades críticas sin resolver?</t>
  </si>
  <si>
    <t>Priorizar remediación de vulnerabilidades críticas</t>
  </si>
  <si>
    <t>¿Activos críticos fuera del inventario?</t>
  </si>
  <si>
    <t>Continuar auditoría de activos</t>
  </si>
  <si>
    <t>¿Cuántos riesgos altos sin plan de tratamiento?</t>
  </si>
  <si>
    <t>Revisar planes de mitigación de riesgos altos</t>
  </si>
  <si>
    <t>¿Cuánto personal completó capacitación de seguridad?</t>
  </si>
  <si>
    <t>Completar programa de concienciación pendiente</t>
  </si>
  <si>
    <t>¿Tenemos autenticación multifactor activa?</t>
  </si>
  <si>
    <t>Extender MFA a sistemas restantes</t>
  </si>
  <si>
    <t>¿Parcheamos sistemas oportunamente?</t>
  </si>
  <si>
    <t>Alcanzar el 90% de cumplimiento en parches</t>
  </si>
  <si>
    <t>¿Realizamos pruebas de penetración?</t>
  </si>
  <si>
    <t>Programar segundo pentest del año</t>
  </si>
  <si>
    <t>¿Ciframos los datos sensibles?</t>
  </si>
  <si>
    <t>Implementar cifrado en sistemas pendientes</t>
  </si>
  <si>
    <t>¿Personal que cae en phishing simulado?</t>
  </si>
  <si>
    <t>Reforzar entrenamiento anti-phishing</t>
  </si>
  <si>
    <t>¿Accesos privilegiados sin control?</t>
  </si>
  <si>
    <t>Revisar cuentas privilegiadas sin auditoría</t>
  </si>
  <si>
    <t>¿Sistemas críticos sin backup verificado?</t>
  </si>
  <si>
    <t>Verificar integridad de todos los backups</t>
  </si>
  <si>
    <t>Optimizar reglas de correlación SIEM</t>
  </si>
  <si>
    <t>Reducir MTTD a menos de 24 horas</t>
  </si>
  <si>
    <t>¿Cuántas fuentes CTI usamos?</t>
  </si>
  <si>
    <t>Integrar fuentes adicionales de inteligencia</t>
  </si>
  <si>
    <t>¿Cobertura de monitoreo en activos críticos?</t>
  </si>
  <si>
    <t>Mantener cobertura de monitoreo</t>
  </si>
  <si>
    <t>¿Alertas críticas sin investigar?</t>
  </si>
  <si>
    <t>Mantener proceso de triage de alertas</t>
  </si>
  <si>
    <t>¿Cuántos falsos positivos tenemos?</t>
  </si>
  <si>
    <t>Afinar reglas para reducir falsos positivos</t>
  </si>
  <si>
    <t>¿Tiempo sin detectar a un atacante (dwell)?</t>
  </si>
  <si>
    <t>Reducir dwell time con reglas de detección avanzadas</t>
  </si>
  <si>
    <t>¿Tenemos plan de respuesta probado?</t>
  </si>
  <si>
    <t>Ejecutar ejercicio tabletop para validar el plan</t>
  </si>
  <si>
    <t>¿Reportamos incidentes en plazos de ley?</t>
  </si>
  <si>
    <t>Mantener proceso de notificación ANCI</t>
  </si>
  <si>
    <t>Reducir MTTC con playbooks automatizados</t>
  </si>
  <si>
    <t>¿Realizamos simulacros de crisis?</t>
  </si>
  <si>
    <t>Programar segundo ejercicio tabletop</t>
  </si>
  <si>
    <t>¿Cuántos incidentes graves tuvimos?</t>
  </si>
  <si>
    <t>Revisar patrones de incidentes críticos</t>
  </si>
  <si>
    <t>¿Cuántos incidentes son recurrentes?</t>
  </si>
  <si>
    <t>Implementar análisis causa raíz formal</t>
  </si>
  <si>
    <t>¿Incidentes no reportados a ANCI?</t>
  </si>
  <si>
    <t>Verificar proceso de clasificación de incidentes</t>
  </si>
  <si>
    <t>¿Recuperamos en el tiempo objetivo (RTO)?</t>
  </si>
  <si>
    <t>Revisar y optimizar procesos de recuperación</t>
  </si>
  <si>
    <t>¿Backups con restauración exitosa?</t>
  </si>
  <si>
    <t>Alcanzar 95% de éxito en restauraciones</t>
  </si>
  <si>
    <t>¿Tenemos plan BCP/DRP vigente?</t>
  </si>
  <si>
    <t>Actualizar planes de continuidad pendientes</t>
  </si>
  <si>
    <t>¿Aprendemos de los incidentes?</t>
  </si>
  <si>
    <t>Implementar proceso formal de lecciones aprendidas</t>
  </si>
  <si>
    <t>¿Cuánto tardamos en restaurar servicio (MTTR)?</t>
  </si>
  <si>
    <t>Reducir MTTR con automatización de recuperación</t>
  </si>
  <si>
    <t>¿Cumplimos el RPO de datos críticos?</t>
  </si>
  <si>
    <t>Ajustar política de backups para cumplir RPO</t>
  </si>
  <si>
    <t>¿Cuántos servicios críticos sin DRP?</t>
  </si>
  <si>
    <t>Crear DRP para servicios críticos pendientes</t>
  </si>
  <si>
    <t>📊  CUMPLIMIENTO GLOBAL PROMEDIO</t>
  </si>
  <si>
    <t>⚖️  ALINEACIÓN CON LEY MARCO DE CIBERSEGURIDAD N°21.663 — CHILE</t>
  </si>
  <si>
    <t>Mapeo de artículos de la Ley N°21.663 con dominios de control NIST CSF 2.0 y obligaciones humanizadas para la organización</t>
  </si>
  <si>
    <t>Artículo</t>
  </si>
  <si>
    <t>Título de la Obligación</t>
  </si>
  <si>
    <t>¿Qué exige en lenguaje simple?</t>
  </si>
  <si>
    <t>Dominio NIST CSF</t>
  </si>
  <si>
    <t>Indicadores relacionados</t>
  </si>
  <si>
    <t>Plazo/Frecuencia</t>
  </si>
  <si>
    <t>Sanción por incumplimiento</t>
  </si>
  <si>
    <t>Estado</t>
  </si>
  <si>
    <t>Art. 3</t>
  </si>
  <si>
    <t>Gobernanza de ciberseguridad</t>
  </si>
  <si>
    <t>Las organizaciones deben tener una estrategia de ciberseguridad formalmente aprobada y un responsable designado (CISO o equivalente).</t>
  </si>
  <si>
    <t>GOBERNAR (GV)</t>
  </si>
  <si>
    <t>GV-KPI-01, GV-KPI-04</t>
  </si>
  <si>
    <t>Permanente</t>
  </si>
  <si>
    <t>Multa hasta 10.000 UTM</t>
  </si>
  <si>
    <t>🟡 En proceso</t>
  </si>
  <si>
    <t>Gestión de activos e inventario</t>
  </si>
  <si>
    <t>Deben identificar y mantener actualizado el inventario de activos de información y sistemas críticos.</t>
  </si>
  <si>
    <t>IDENTIFICAR (ID)</t>
  </si>
  <si>
    <t>ID-KPI-01, ID-KRI-02</t>
  </si>
  <si>
    <t>Multa hasta 5.000 UTM</t>
  </si>
  <si>
    <t>Evaluación continua de riesgos</t>
  </si>
  <si>
    <t>Las organizaciones deben evaluar periódicamente sus riesgos de ciberseguridad y documentar los resultados.</t>
  </si>
  <si>
    <t>ID-KPI-02, ID-KPI-03, ID-KRI-03</t>
  </si>
  <si>
    <t>Responsabilidad del directorio</t>
  </si>
  <si>
    <t>El directorio debe involucrarse activamente en la gobernanza de la ciberseguridad y aprobar la política institucional.</t>
  </si>
  <si>
    <t>GV-KPI-01, GV-KRI-02</t>
  </si>
  <si>
    <t>Responsabilidad civil/penal</t>
  </si>
  <si>
    <t>🔴 Pendiente</t>
  </si>
  <si>
    <t>Art. 7</t>
  </si>
  <si>
    <t>Política de ciberseguridad</t>
  </si>
  <si>
    <t>Las organizaciones deben contar con una política de ciberseguridad documentada, aprobada y comunicada a todo el personal.</t>
  </si>
  <si>
    <t>GV-KPI-01, GV-KPI-03</t>
  </si>
  <si>
    <t>Anual / revisión permanente</t>
  </si>
  <si>
    <t>Presupuesto de ciberseguridad</t>
  </si>
  <si>
    <t>Deben asignar recursos financieros suficientes para implementar y mantener los controles de ciberseguridad.</t>
  </si>
  <si>
    <t>No especificada</t>
  </si>
  <si>
    <t>Cumplimiento normativo y reporte al directorio</t>
  </si>
  <si>
    <t>El directorio debe recibir reportes periódicos sobre el estado de ciberseguridad y el cumplimiento de la política.</t>
  </si>
  <si>
    <t>GV-KPI-03, GV-KRI-01</t>
  </si>
  <si>
    <t>🟢 Cumplido</t>
  </si>
  <si>
    <t>Gestión de riesgos de terceros</t>
  </si>
  <si>
    <t>Deben evaluar los riesgos de ciberseguridad de los proveedores críticos y exigir cumplimiento en contratos.</t>
  </si>
  <si>
    <t>ID-KPI-04, ID-KRI-03</t>
  </si>
  <si>
    <t>Capacitación y concienciación</t>
  </si>
  <si>
    <t>El personal debe recibir formación obligatoria y periódica en ciberseguridad, con registros verificables.</t>
  </si>
  <si>
    <t>PROTEGER (PR)</t>
  </si>
  <si>
    <t>PR-KPI-01, PR-KRI-01</t>
  </si>
  <si>
    <t>Multa hasta 3.000 UTM</t>
  </si>
  <si>
    <t>Controles técnicos de seguridad</t>
  </si>
  <si>
    <t>Deben implementar controles técnicos mínimos: autenticación fuerte (MFA), cifrado, gestión de accesos y parches.</t>
  </si>
  <si>
    <t>PR-KPI-02, PR-KPI-03, PR-KPI-05</t>
  </si>
  <si>
    <t>Pruebas de seguridad y auditorías técnicas</t>
  </si>
  <si>
    <t>Las organizaciones deben realizar pruebas periódicas de seguridad (pentesting) y auditorías técnicas.</t>
  </si>
  <si>
    <t>Anual (mínimo)</t>
  </si>
  <si>
    <t>Monitoreo continuo (SIEM/SOC)</t>
  </si>
  <si>
    <t>Deben tener capacidad de monitoreo continuo de eventos de seguridad para detectar incidentes oportunamente.</t>
  </si>
  <si>
    <t>DETECTAR (DE)</t>
  </si>
  <si>
    <t>DE-KPI-01, DE-KPI-02, DE-KPI-04</t>
  </si>
  <si>
    <t>Inteligencia de amenazas</t>
  </si>
  <si>
    <t>Deben consumir y procesar inteligencia de amenazas actualizada para anticipar riesgos emergentes.</t>
  </si>
  <si>
    <t>DE-KPI-03, DE-KRI-03</t>
  </si>
  <si>
    <t>Continuo</t>
  </si>
  <si>
    <t>Plan de respuesta a incidentes</t>
  </si>
  <si>
    <t>Deben tener un plan de respuesta a incidentes documentado, probado y con roles asignados.</t>
  </si>
  <si>
    <t>RESPONDER (RS)</t>
  </si>
  <si>
    <t>RS-KPI-01, RS-KPI-03</t>
  </si>
  <si>
    <t>Semestral (ejercicio)</t>
  </si>
  <si>
    <t>Gestión de incidentes y lecciones aprendidas</t>
  </si>
  <si>
    <t>Cada incidente debe gestionarse formalmente, documentarse y generar lecciones aprendidas para la mejora continua.</t>
  </si>
  <si>
    <t>RS-KPI-04, RS-KRI-02</t>
  </si>
  <si>
    <t>Por incidente</t>
  </si>
  <si>
    <t>Art. 18</t>
  </si>
  <si>
    <t>Notificación de incidentes a la ANCI</t>
  </si>
  <si>
    <t>Los incidentes de ciberseguridad significativos deben notificarse a la ANCI dentro de las 72 horas de detección.</t>
  </si>
  <si>
    <t>RS-KPI-02, RS-KRI-03</t>
  </si>
  <si>
    <t>72 horas desde detección</t>
  </si>
  <si>
    <t>Multa hasta 20.000 UTM</t>
  </si>
  <si>
    <t>Art. 19</t>
  </si>
  <si>
    <t>Contenido del reporte de incidente a ANCI</t>
  </si>
  <si>
    <t>El reporte debe incluir descripción del incidente, sistemas afectados, acciones tomadas e impacto estimado.</t>
  </si>
  <si>
    <t>Continuidad operacional y recuperación</t>
  </si>
  <si>
    <t>Deben contar con planes de continuidad de negocio (BCP) y recuperación ante desastres (DRP) probados.</t>
  </si>
  <si>
    <t>RECUPERAR (RC)</t>
  </si>
  <si>
    <t>RC-KPI-01, RC-KPI-02, RC-KPI-03</t>
  </si>
  <si>
    <t>Semestral (prueba)</t>
  </si>
  <si>
    <t>Plan de continuidad de negocio</t>
  </si>
  <si>
    <t>El BCP debe definir RTOs y RPOs para cada servicio crítico y ser validado periódicamente.</t>
  </si>
  <si>
    <t>RC-KPI-03, RC-KRI-01, RC-KRI-02, RC-KRI-03</t>
  </si>
  <si>
    <t>Mejora continua y ciclo PDCA de ciberseguridad</t>
  </si>
  <si>
    <t>Las organizaciones deben incorporar mejoras continuas basadas en los resultados de auditorías, incidentes y ejercicios.</t>
  </si>
  <si>
    <t>🔗  MATRIZ DE ALINEACIÓN CRUZADA — NIST CSF 2.0 ↔ NIS2 ↔ Ley 21.663</t>
  </si>
  <si>
    <t>Función NIST CSF</t>
  </si>
  <si>
    <t>Categoría NIST CSF</t>
  </si>
  <si>
    <t>Subcategoría (ej.)</t>
  </si>
  <si>
    <t>Obligación NIS2 equivalente</t>
  </si>
  <si>
    <t>Art. NIS2</t>
  </si>
  <si>
    <t>Art. Ley 21.663</t>
  </si>
  <si>
    <t>Control NIST 800-53 relacionado</t>
  </si>
  <si>
    <t>Nivel de alineación</t>
  </si>
  <si>
    <t>Brecha detectada</t>
  </si>
  <si>
    <t>Política organizacional de ciberseguridad</t>
  </si>
  <si>
    <t>GV.OC-01: Misión y objetivos de ciber definidos</t>
  </si>
  <si>
    <t>Estrategia nacional de ciberseg. y gobierno</t>
  </si>
  <si>
    <t>PM-1, PM-9</t>
  </si>
  <si>
    <t>Alto ✅</t>
  </si>
  <si>
    <t>Ninguna</t>
  </si>
  <si>
    <t>Roles y responsabilidades</t>
  </si>
  <si>
    <t>GV.RR-01: Roles asignados y comunicados</t>
  </si>
  <si>
    <t>Responsabilidad del órgano de dirección</t>
  </si>
  <si>
    <t>PM-2, AC-2</t>
  </si>
  <si>
    <t>Gestión de riesgos empresarial</t>
  </si>
  <si>
    <t>GV.RM-01: Marco de gestión de riesgos</t>
  </si>
  <si>
    <t>Gestión de riesgos cibernéticos</t>
  </si>
  <si>
    <t>RA-1, RA-3</t>
  </si>
  <si>
    <t>Medio 🟡</t>
  </si>
  <si>
    <t>Falta integración con ERM</t>
  </si>
  <si>
    <t>Supervisión de la cadena de suministro</t>
  </si>
  <si>
    <t>GV.SC-01: Política de cadena de suministro</t>
  </si>
  <si>
    <t>Seguridad de la cadena de suministro</t>
  </si>
  <si>
    <t>SA-9, SR-1</t>
  </si>
  <si>
    <t>Bajo 🔴</t>
  </si>
  <si>
    <t>Controles de terceros insuficientes</t>
  </si>
  <si>
    <t>Gestión de activos</t>
  </si>
  <si>
    <t>ID.AM-01: Inventario de hw/sw</t>
  </si>
  <si>
    <t>Inventario de activos y sistemas</t>
  </si>
  <si>
    <t>CM-8, PM-5</t>
  </si>
  <si>
    <t>Evaluación de riesgos</t>
  </si>
  <si>
    <t>ID.RA-01: Vulnerabilidades identificadas</t>
  </si>
  <si>
    <t>Análisis de riesgos de seguridad</t>
  </si>
  <si>
    <t>RA-5, CA-5</t>
  </si>
  <si>
    <t>Frecuencia insuficiente</t>
  </si>
  <si>
    <t>Mejora</t>
  </si>
  <si>
    <t>ID.IM-01: Planes de mejora implementados</t>
  </si>
  <si>
    <t>Mejora continua del marco de gestión</t>
  </si>
  <si>
    <t>CA-7, PL-2</t>
  </si>
  <si>
    <t>Sin proceso formal de mejora</t>
  </si>
  <si>
    <t>Gestión de identidades y accesos</t>
  </si>
  <si>
    <t>PR.AA-01: Identidades gestionadas</t>
  </si>
  <si>
    <t>Gestión de accesos y autenticación</t>
  </si>
  <si>
    <t>AC-2, IA-2</t>
  </si>
  <si>
    <t>Concienciación y formación</t>
  </si>
  <si>
    <t>PR.AT-01: Concienciación del personal</t>
  </si>
  <si>
    <t>Formación y concienciación en ciberseg.</t>
  </si>
  <si>
    <t>AT-2, AT-3</t>
  </si>
  <si>
    <t>Frecuencia de formación baja</t>
  </si>
  <si>
    <t>Seguridad de datos</t>
  </si>
  <si>
    <t>PR.DS-01: Datos en reposo protegidos</t>
  </si>
  <si>
    <t>Protección de datos y privacidad</t>
  </si>
  <si>
    <t>SC-28, MP-5</t>
  </si>
  <si>
    <t>Sin política de clasificación</t>
  </si>
  <si>
    <t>Seguridad de plataformas</t>
  </si>
  <si>
    <t>PR.PS-01: Línea base configuración</t>
  </si>
  <si>
    <t>Medidas técnicas y operativas</t>
  </si>
  <si>
    <t>CM-2, CM-6</t>
  </si>
  <si>
    <t>Resiliencia de infraestructura</t>
  </si>
  <si>
    <t>PR.IR-01: Redes segmentadas y protegidas</t>
  </si>
  <si>
    <t>Seguridad de redes y sistemas</t>
  </si>
  <si>
    <t>SC-7, SC-5</t>
  </si>
  <si>
    <t>Segmentación parcial</t>
  </si>
  <si>
    <t>Monitoreo continuo</t>
  </si>
  <si>
    <t>DE.CM-01: Redes monitoreadas</t>
  </si>
  <si>
    <t>Detección y respuesta a incidentes</t>
  </si>
  <si>
    <t>AU-12, SI-4</t>
  </si>
  <si>
    <t>Análisis de eventos</t>
  </si>
  <si>
    <t>DE.AE-01: Eventos registrados y correlados</t>
  </si>
  <si>
    <t>Gestión de eventos de ciberseguridad</t>
  </si>
  <si>
    <t>AU-6, IR-5</t>
  </si>
  <si>
    <t>Sin SIEM correlación avanzada</t>
  </si>
  <si>
    <t>Gestión de incidentes</t>
  </si>
  <si>
    <t>RS.MA-01: Incidentes investigados</t>
  </si>
  <si>
    <t>Notificación de incidentes (72h)</t>
  </si>
  <si>
    <t>Art. 16, 18</t>
  </si>
  <si>
    <t>IR-4, IR-6</t>
  </si>
  <si>
    <t>Reporte de incidentes</t>
  </si>
  <si>
    <t>RS.CO-01: Personal notificado</t>
  </si>
  <si>
    <t>Comunicación con autoridades</t>
  </si>
  <si>
    <t>IR-6, IR-7</t>
  </si>
  <si>
    <t>Mitigación de incidentes</t>
  </si>
  <si>
    <t>RS.MI-01: Incidentes contenidos</t>
  </si>
  <si>
    <t>Respuesta y mitigación</t>
  </si>
  <si>
    <t>IR-4, IR-5</t>
  </si>
  <si>
    <t>Sin playbooks automatizados</t>
  </si>
  <si>
    <t>Ejecución del plan de recuperación</t>
  </si>
  <si>
    <t>RC.RP-01: Plan recuperación ejecutado</t>
  </si>
  <si>
    <t>Continuidad operacional</t>
  </si>
  <si>
    <t>CP-10, IR-4</t>
  </si>
  <si>
    <t>Sin RTO formalmente probados</t>
  </si>
  <si>
    <t>Comunicación en recuperación</t>
  </si>
  <si>
    <t>RC.CO-01: Lecciones aprendidas comunicadas</t>
  </si>
  <si>
    <t>Evaluación y mejora post-incidente</t>
  </si>
  <si>
    <t>CA-7, PM-31</t>
  </si>
  <si>
    <t>Sin proceso post-mortem formal</t>
  </si>
  <si>
    <t>📝  PLANTILLA DE AUDITORÍA DE BRECHAS — NIVEL DE MADUREZ (1-5)</t>
  </si>
  <si>
    <t>Escala: 1=Inicial (ad hoc) · 2=Gestionado · 3=Definido · 4=Cuantificado · 5=Optimizado. Ingrese el nivel actual (1-5) y el nivel objetivo.</t>
  </si>
  <si>
    <t>Área de Control</t>
  </si>
  <si>
    <t>Control / Requisito Humanizado</t>
  </si>
  <si>
    <t>Ley 21.663</t>
  </si>
  <si>
    <t>NIS2</t>
  </si>
  <si>
    <t>Nivel Actual (1-5)</t>
  </si>
  <si>
    <t>Nivel Objetivo (1-5)</t>
  </si>
  <si>
    <t>Brecha (Gap)</t>
  </si>
  <si>
    <t>Hallazgo / Evidencia</t>
  </si>
  <si>
    <t>Plan de Acción</t>
  </si>
  <si>
    <t>Gobernanza</t>
  </si>
  <si>
    <t>El directorio aprueba y revisa la estrategia de ciberseguridad</t>
  </si>
  <si>
    <t>Sin política aprobada por directorio</t>
  </si>
  <si>
    <t>Presentar política al directorio en próxima sesión</t>
  </si>
  <si>
    <t>Roles y responsabilidades de ciberseguridad definidos y comunicados</t>
  </si>
  <si>
    <t>Organigrama no actualizado</t>
  </si>
  <si>
    <t>Actualizar matriz RACI de ciberseguridad</t>
  </si>
  <si>
    <t>Presupuesto</t>
  </si>
  <si>
    <t>Presupuesto de ciberseguridad asignado y aprobado formalmente</t>
  </si>
  <si>
    <t>Sin línea presupuestaria dedicada</t>
  </si>
  <si>
    <t>Proponer presupuesto en proceso planificación 2026</t>
  </si>
  <si>
    <t>Cumplimiento</t>
  </si>
  <si>
    <t>Programa de gestión de cumplimiento normativo activo</t>
  </si>
  <si>
    <t>Sin proceso de monitoreo regulatorio</t>
  </si>
  <si>
    <t>Implementar GRC con seguimiento ANCI</t>
  </si>
  <si>
    <t>Activos</t>
  </si>
  <si>
    <t>Inventario de activos críticos completo y actualizado</t>
  </si>
  <si>
    <t>Inventario desactualizado (&gt;6 meses)</t>
  </si>
  <si>
    <t>Ejecutar descubrimiento automático de activos</t>
  </si>
  <si>
    <t>Riesgos</t>
  </si>
  <si>
    <t>Evaluaciones de riesgo periódicas y documentadas</t>
  </si>
  <si>
    <t>Última evaluación hace 18 meses</t>
  </si>
  <si>
    <t>Realizar evaluación de riesgo completa Q3 2026</t>
  </si>
  <si>
    <t>Proveedores</t>
  </si>
  <si>
    <t>Evaluación de riesgos de proveedores críticos</t>
  </si>
  <si>
    <t>Sin evaluación de ningún proveedor</t>
  </si>
  <si>
    <t>Crear programa de TPRM inmediatamente</t>
  </si>
  <si>
    <t>Formación</t>
  </si>
  <si>
    <t>Programa de concienciación y capacitación del personal</t>
  </si>
  <si>
    <t>Solo 1 capacitación anual</t>
  </si>
  <si>
    <t>Implementar micro-capacitaciones mensuales</t>
  </si>
  <si>
    <t>Accesos</t>
  </si>
  <si>
    <t>Autenticación multifactor (MFA) en sistemas críticos</t>
  </si>
  <si>
    <t>MFA solo en correo corporativo</t>
  </si>
  <si>
    <t>Extender MFA a todos los sistemas críticos</t>
  </si>
  <si>
    <t>Parches</t>
  </si>
  <si>
    <t>Gestión de vulnerabilidades y parches en plazo</t>
  </si>
  <si>
    <t>10% de parches críticos pendientes</t>
  </si>
  <si>
    <t>Automatizar proceso de patch management</t>
  </si>
  <si>
    <t>Cifrado</t>
  </si>
  <si>
    <t>Cifrado de datos sensibles en tránsito y en reposo</t>
  </si>
  <si>
    <t>Sin cifrado en bases de datos legacy</t>
  </si>
  <si>
    <t>Plan de migración a almacenamiento cifrado</t>
  </si>
  <si>
    <t>Monitoreo continuo con SIEM operativo 24/7</t>
  </si>
  <si>
    <t>SIEM solo monitorea horario laboral</t>
  </si>
  <si>
    <t>Configurar alertas 24/7 y turno NOC</t>
  </si>
  <si>
    <t>Detección</t>
  </si>
  <si>
    <t>Tiempo de detección de incidentes (MTTD &lt; 24h)</t>
  </si>
  <si>
    <t>MTTD promedio &gt; 72 horas</t>
  </si>
  <si>
    <t>Implementar reglas de correlación avanzadas</t>
  </si>
  <si>
    <t>Threat Intel</t>
  </si>
  <si>
    <t>Fuentes de inteligencia de amenazas integradas</t>
  </si>
  <si>
    <t>Sin feeds CTI integrados</t>
  </si>
  <si>
    <t>Integrar mínimo 3 fuentes CTI al SIEM</t>
  </si>
  <si>
    <t>Plan IR</t>
  </si>
  <si>
    <t>Plan de respuesta a incidentes documentado y probado</t>
  </si>
  <si>
    <t>Plan existente pero sin ejercicios</t>
  </si>
  <si>
    <t>Realizar ejercicio tabletop semestral</t>
  </si>
  <si>
    <t>Notificación</t>
  </si>
  <si>
    <t>Protocolo de notificación a ANCI en 72 horas</t>
  </si>
  <si>
    <t>Protocolo existe, no siempre respetado</t>
  </si>
  <si>
    <t>Automatizar alerta de obligación de reporte</t>
  </si>
  <si>
    <t>Simulacros</t>
  </si>
  <si>
    <t>Ejercicios de simulación de crisis realizados</t>
  </si>
  <si>
    <t>Sin ningún ejercicio realizado</t>
  </si>
  <si>
    <t>Planificar 2 ejercicios tabletop anuales</t>
  </si>
  <si>
    <t>BCP/DRP</t>
  </si>
  <si>
    <t>Plan de continuidad operacional con RTO/RPO definidos</t>
  </si>
  <si>
    <t>BCP sin RTO/RPO formalizados</t>
  </si>
  <si>
    <t>Definir RTO/RPO por servicio crítico</t>
  </si>
  <si>
    <t>Backups</t>
  </si>
  <si>
    <t>Pruebas de restauración de backup periódicas</t>
  </si>
  <si>
    <t>Backups sin prueba de restauración</t>
  </si>
  <si>
    <t>Implementar pruebas mensuales de restore</t>
  </si>
  <si>
    <t>Ciclo de mejora continua basado en incidentes</t>
  </si>
  <si>
    <t>Implementar proceso de lecciones aprendidas</t>
  </si>
  <si>
    <t>📖  GLOSARIO DE TÉRMINOS Y SIGLAS</t>
  </si>
  <si>
    <t>Término / Sigla</t>
  </si>
  <si>
    <t>Significado completo</t>
  </si>
  <si>
    <t>Definición humanizada</t>
  </si>
  <si>
    <t>Contexto de uso</t>
  </si>
  <si>
    <t>Key Performance Indicator</t>
  </si>
  <si>
    <t>Indicador que mide qué tan bien está funcionando algo. Responde: ¿lo estamos haciendo bien?</t>
  </si>
  <si>
    <t>Dashboard / reporting ejecutivo</t>
  </si>
  <si>
    <t>Key Risk Indicator</t>
  </si>
  <si>
    <t>Indicador que mide el nivel de exposición a un riesgo. Responde: ¿qué tan expuestos estamos?</t>
  </si>
  <si>
    <t>Gestión de riesgos / CISO</t>
  </si>
  <si>
    <t>NIST CSF</t>
  </si>
  <si>
    <t>National Institute of Standards and Technology Cybersecurity Framework</t>
  </si>
  <si>
    <t>Marco de buenas prácticas de ciberseguridad. Dice cómo organizar y mejorar la seguridad técnica y organizacional.</t>
  </si>
  <si>
    <t>Diseño del modelo de auditoría</t>
  </si>
  <si>
    <t>Network and Information Security Directive 2</t>
  </si>
  <si>
    <t>Directiva europea que establece qué deben cumplir organizaciones en sectores críticos. Define las reglas del juego legales.</t>
  </si>
  <si>
    <t>Cumplimiento normativo europeo</t>
  </si>
  <si>
    <t>Ley Marco de Ciberseguridad Chile</t>
  </si>
  <si>
    <t>Ley chilena vigente desde 2025 que exige a organizaciones públicas y privadas implementar gobierno de ciberseguridad y reportar incidentes.</t>
  </si>
  <si>
    <t>Obligaciones legales en Chile</t>
  </si>
  <si>
    <t>ANCI</t>
  </si>
  <si>
    <t>Agencia Nacional de Ciberseguridad</t>
  </si>
  <si>
    <t>Organismo público chileno que regula, supervisa y coordina la ciberseguridad nacional. Es la autoridad a quien se reportan incidentes.</t>
  </si>
  <si>
    <t>Notificación de incidentes</t>
  </si>
  <si>
    <t>Security Information and Event Management</t>
  </si>
  <si>
    <t>Sistema que recopila, correlaciona y analiza eventos de seguridad en tiempo real. Es los ojos y oídos de la organización.</t>
  </si>
  <si>
    <t>Detección de incidentes</t>
  </si>
  <si>
    <t>SOC</t>
  </si>
  <si>
    <t>Security Operations Center</t>
  </si>
  <si>
    <t>Centro de operaciones de seguridad. El equipo humano que monitorea, detecta y responde a incidentes 24/7.</t>
  </si>
  <si>
    <t>Operaciones de seguridad</t>
  </si>
  <si>
    <t>MFA</t>
  </si>
  <si>
    <t>Multi-Factor Authentication</t>
  </si>
  <si>
    <t>Autenticación con más de un factor (contraseña + código móvil). Hace mucho más difícil que un atacante acceda a las cuentas.</t>
  </si>
  <si>
    <t>Control de accesos</t>
  </si>
  <si>
    <t>MTTD</t>
  </si>
  <si>
    <t>Mean Time to Detect</t>
  </si>
  <si>
    <t>Tiempo promedio que pasa desde que ocurre un incidente hasta que es detectado. Cuanto menor, mejor.</t>
  </si>
  <si>
    <t>Métricas de detección</t>
  </si>
  <si>
    <t>MTTC</t>
  </si>
  <si>
    <t>Mean Time to Contain</t>
  </si>
  <si>
    <t>Tiempo promedio desde que se detecta un incidente hasta que se contiene. Menor = respuesta más eficiente.</t>
  </si>
  <si>
    <t>Métricas de respuesta</t>
  </si>
  <si>
    <t>MTTR</t>
  </si>
  <si>
    <t>Mean Time to Recover</t>
  </si>
  <si>
    <t>Tiempo promedio hasta la recuperación total tras un incidente. Menor = más resiliente.</t>
  </si>
  <si>
    <t>Métricas de recuperación</t>
  </si>
  <si>
    <t>RTO</t>
  </si>
  <si>
    <t>Recovery Time Objective</t>
  </si>
  <si>
    <t>Tiempo máximo aceptable para restaurar un sistema tras un fallo. Es el compromiso de cuánto tiempo podemos estar caídos.</t>
  </si>
  <si>
    <t>BCP / DRP</t>
  </si>
  <si>
    <t>RPO</t>
  </si>
  <si>
    <t>Recovery Point Objective</t>
  </si>
  <si>
    <t>Cantidad máxima aceptable de pérdida de datos. Indica cuánta información podemos perder sin impacto crítico.</t>
  </si>
  <si>
    <t>BCP / Backups</t>
  </si>
  <si>
    <t>BCP</t>
  </si>
  <si>
    <t>Business Continuity Plan</t>
  </si>
  <si>
    <t>Plan de continuidad del negocio. Define cómo mantener operaciones esenciales ante un incidente grave.</t>
  </si>
  <si>
    <t>Resiliencia organizacional</t>
  </si>
  <si>
    <t>DRP</t>
  </si>
  <si>
    <t>Disaster Recovery Plan</t>
  </si>
  <si>
    <t>Plan de recuperación ante desastres tecnológicos. Detalla cómo restaurar sistemas y datos tras un evento mayor.</t>
  </si>
  <si>
    <t>Recuperación técnica</t>
  </si>
  <si>
    <t>CTI</t>
  </si>
  <si>
    <t>Cyber Threat Intelligence</t>
  </si>
  <si>
    <t>Inteligencia de amenazas cibernéticas. Información actualizada sobre atacantes, métodos y vulnerabilidades emergentes.</t>
  </si>
  <si>
    <t>Detección proactiva</t>
  </si>
  <si>
    <t>GRC</t>
  </si>
  <si>
    <t>Governance, Risk and Compliance</t>
  </si>
  <si>
    <t>Gestión integrada de gobierno, riesgos y cumplimiento. Plataforma o proceso que unifica auditoría y control.</t>
  </si>
  <si>
    <t>Gestión de cumplimiento</t>
  </si>
  <si>
    <t>CMDB</t>
  </si>
  <si>
    <t>Configuration Management Database</t>
  </si>
  <si>
    <t>Base de datos de activos de TI y sus relaciones. Es el inventario oficial de la infraestructura tecnológica.</t>
  </si>
  <si>
    <t>EDR</t>
  </si>
  <si>
    <t>Endpoint Detection and Response</t>
  </si>
  <si>
    <t>Herramienta que monitorea y responde a amenazas en dispositivos finales (PCs, servidores). Detecta comportamientos sospechosos.</t>
  </si>
  <si>
    <t>Protección de endpoints</t>
  </si>
  <si>
    <t>CVSS</t>
  </si>
  <si>
    <t>Common Vulnerability Scoring System</t>
  </si>
  <si>
    <t>Sistema de puntuación de vulnerabilidades (0 a 10). CVSS ≥7 = crítico/alto. Ayuda a priorizar qué parchear primero.</t>
  </si>
  <si>
    <t>Gestión de vulnerabilidades</t>
  </si>
  <si>
    <t>IAM</t>
  </si>
  <si>
    <t>Identity and Access Management</t>
  </si>
  <si>
    <t>Gestión de identidades y accesos. Controla quién puede acceder a qué dentro de la organización.</t>
  </si>
  <si>
    <t>RAG</t>
  </si>
  <si>
    <t>Red-Amber-Green</t>
  </si>
  <si>
    <t>Semáforo de estado: Rojo=alerta, Ámbar/Amarillo=precaución, Verde=óptimo. Visualización ejecutiva de cumplimiento.</t>
  </si>
  <si>
    <t>Dashboard ejecutivo</t>
  </si>
  <si>
    <t>DSR</t>
  </si>
  <si>
    <t>Design Science Research</t>
  </si>
  <si>
    <t>Metodología de investigación que combina investigación teórica con la creación de artefactos que resuelven problemas reales.</t>
  </si>
  <si>
    <t>Metodología del TFE</t>
  </si>
  <si>
    <t>TPRM</t>
  </si>
  <si>
    <t>Third Party Risk Management</t>
  </si>
  <si>
    <t>Gestión de riesgos de terceros. Proceso para evaluar y controlar los riesgos que proveedores y socios representan para la org.</t>
  </si>
  <si>
    <t>Gestión de proveedores</t>
  </si>
  <si>
    <t>Identificar (ID), Proteger (PR), Detectar (DE), Responder (RS) y Recuperar (RC) se manifiestan como procesos de seguridad ejecutables.</t>
  </si>
  <si>
    <t>Gobernar (GV)</t>
  </si>
  <si>
    <t>Identificar (ID)</t>
  </si>
  <si>
    <t>Gobierno y Estrategia Digital</t>
  </si>
  <si>
    <t>Conocer lo que Protegemos</t>
  </si>
  <si>
    <t>Defensa Activa de la Organización</t>
  </si>
  <si>
    <t>Vigilancia y Alerta Temprana</t>
  </si>
  <si>
    <t>Respuesta ante Incidentes</t>
  </si>
  <si>
    <t>Resiliencia y Continuidad Operacional</t>
  </si>
  <si>
    <t>Grupo de artículos</t>
  </si>
  <si>
    <t>Contenido principal</t>
  </si>
  <si>
    <t>Descripción resumida</t>
  </si>
  <si>
    <t>Principios generales y funciones</t>
  </si>
  <si>
    <t>Definen los principios rectores de la ciberseguridad en Chile, establecen competencias de la Agencia Nacional de Ciberseguridad (ANCI) y fijan responsabilidades básicas de los organismos públicos y privados.</t>
  </si>
  <si>
    <t>Derechos y obligaciones</t>
  </si>
  <si>
    <t>Regulan los derechos de los usuarios y las obligaciones de los prestadores de servicios esenciales, incluyendo medidas de protección y reporte de incidentes.</t>
  </si>
  <si>
    <t>Supervisión y fiscalización</t>
  </si>
  <si>
    <t>Establecen las facultades de la ANCI para supervisar, fiscalizar y sancionar incumplimientos, además de definir mecanismos de coordinación interinstitucional.</t>
  </si>
  <si>
    <t>Planes y políticas nacionales</t>
  </si>
  <si>
    <t>Regulan la elaboración de políticas públicas y planes nacionales de ciberseguridad, asegurando alineación con estándares internacionales.</t>
  </si>
  <si>
    <t>Gestión de incidentes y cooperación</t>
  </si>
  <si>
    <t>Definen protocolos de gestión de incidentes, cooperación internacional y coordinación con organismos de seguridad y defensa.</t>
  </si>
  <si>
    <t>Régimen sancionatorio y disposiciones finales</t>
  </si>
  <si>
    <t>Establecen sanciones por incumplimiento, procedimientos administrativos y disposiciones transitorias para la implementación de la ley.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</si>
</sst>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6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i/>
      <sz val="13"/>
      <color rgb="FFBDD7EE"/>
      <name val="Arial"/>
      <charset val="1"/>
    </font>
    <font>
      <b/>
      <sz val="10"/>
      <color rgb="FF1F3864"/>
      <name val="Arial"/>
      <charset val="1"/>
    </font>
    <font>
      <sz val="10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4472C4"/>
      <name val="Arial"/>
      <charset val="1"/>
    </font>
    <font>
      <b/>
      <sz val="10"/>
      <color rgb="FF70AD47"/>
      <name val="Arial"/>
      <charset val="1"/>
    </font>
    <font>
      <b/>
      <sz val="10"/>
      <color rgb="FFFFD700"/>
      <name val="Arial"/>
      <charset val="1"/>
    </font>
    <font>
      <b/>
      <sz val="10"/>
      <color rgb="FFED7D31"/>
      <name val="Arial"/>
      <charset val="1"/>
    </font>
    <font>
      <b/>
      <sz val="10"/>
      <color rgb="FF375623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b/>
      <sz val="9"/>
      <color rgb="FF843C0C"/>
      <name val="Arial"/>
      <charset val="1"/>
    </font>
    <font>
      <b/>
      <sz val="9"/>
      <color rgb="FF7F6000"/>
      <name val="Arial"/>
      <charset val="1"/>
    </font>
    <font>
      <b/>
      <sz val="9"/>
      <color rgb="FF375623"/>
      <name val="Arial"/>
      <charset val="1"/>
    </font>
    <font>
      <b/>
      <sz val="9"/>
      <name val="Arial"/>
      <charset val="1"/>
    </font>
    <font>
      <b/>
      <sz val="10"/>
      <color rgb="FF2E74B5"/>
      <name val="Arial"/>
      <charset val="1"/>
    </font>
    <font>
      <b/>
      <sz val="10"/>
      <name val="Arial"/>
      <charset val="1"/>
    </font>
    <font>
      <b/>
      <sz val="9"/>
      <color rgb="FFBF0000"/>
      <name val="Arial"/>
      <charset val="1"/>
    </font>
    <font>
      <b/>
      <sz val="12"/>
      <color rgb="FF1F3864"/>
      <name val="Arial"/>
      <charset val="1"/>
    </font>
    <font>
      <b/>
      <sz val="12"/>
      <name val="Arial"/>
      <charset val="1"/>
    </font>
    <font>
      <b/>
      <sz val="13"/>
      <color rgb="FFFFFFFF"/>
      <name val="Arial"/>
      <charset val="1"/>
    </font>
    <font>
      <i/>
      <sz val="9"/>
      <color rgb="FF843C0C"/>
      <name val="Arial"/>
      <charset val="1"/>
    </font>
    <font>
      <sz val="9"/>
      <name val="Arial"/>
      <charset val="1"/>
    </font>
    <font>
      <b/>
      <sz val="10"/>
      <color rgb="FF843C0C"/>
      <name val="Arial"/>
      <charset val="1"/>
    </font>
    <font>
      <b/>
      <sz val="9"/>
      <color rgb="FF000000"/>
      <name val="Arial"/>
      <charset val="1"/>
    </font>
    <font>
      <b/>
      <sz val="10"/>
      <color rgb="FF7F6000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D9D9"/>
        <bgColor rgb="FFBDD7EE"/>
      </patternFill>
    </fill>
    <fill>
      <patternFill patternType="solid">
        <fgColor rgb="FFFFFFFF"/>
        <bgColor rgb="FFF2F2F2"/>
      </patternFill>
    </fill>
    <fill>
      <patternFill patternType="solid">
        <fgColor rgb="FF2E74B5"/>
        <bgColor rgb="FF4472C4"/>
      </patternFill>
    </fill>
    <fill>
      <patternFill patternType="solid">
        <fgColor rgb="FF4472C4"/>
        <bgColor rgb="FF2E74B5"/>
      </patternFill>
    </fill>
    <fill>
      <patternFill patternType="solid">
        <fgColor rgb="FFBDD7EE"/>
        <bgColor rgb="FFD9D9D9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F2F2F2"/>
      </patternFill>
    </fill>
    <fill>
      <patternFill patternType="solid">
        <fgColor rgb="FFFFD7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595959"/>
      </patternFill>
    </fill>
    <fill>
      <patternFill patternType="solid">
        <fgColor rgb="FFB8860B"/>
        <bgColor rgb="FFED7D31"/>
      </patternFill>
    </fill>
    <fill>
      <patternFill patternType="solid">
        <fgColor rgb="FFF2F2F2"/>
        <bgColor rgb="FFE2EFDA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7" borderId="1" xfId="0" applyFont="1" applyFill="1" applyBorder="1" applyAlignment="1">
      <alignment horizontal="center" vertical="center" indent="1"/>
    </xf>
    <xf numFmtId="0" fontId="4" fillId="7" borderId="1" xfId="0" applyFont="1" applyFill="1" applyBorder="1" applyAlignment="1">
      <alignment horizontal="left" vertical="center" indent="1"/>
    </xf>
    <xf numFmtId="0" fontId="6" fillId="5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top" wrapText="1" indent="1"/>
    </xf>
    <xf numFmtId="0" fontId="10" fillId="7" borderId="1" xfId="0" applyFont="1" applyFill="1" applyBorder="1" applyAlignment="1">
      <alignment horizontal="left" vertical="top" wrapText="1" indent="1"/>
    </xf>
    <xf numFmtId="0" fontId="4" fillId="7" borderId="1" xfId="0" applyFont="1" applyFill="1" applyBorder="1" applyAlignment="1">
      <alignment horizontal="left" vertical="top" wrapText="1" indent="1"/>
    </xf>
    <xf numFmtId="0" fontId="9" fillId="6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left" vertical="top" wrapText="1" indent="1"/>
    </xf>
    <xf numFmtId="0" fontId="9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top" wrapText="1" indent="1"/>
    </xf>
    <xf numFmtId="0" fontId="10" fillId="9" borderId="1" xfId="0" applyFont="1" applyFill="1" applyBorder="1" applyAlignment="1">
      <alignment horizontal="left" vertical="top" wrapText="1" indent="1"/>
    </xf>
    <xf numFmtId="0" fontId="4" fillId="9" borderId="1" xfId="0" applyFont="1" applyFill="1" applyBorder="1" applyAlignment="1">
      <alignment horizontal="left" vertical="top" wrapText="1" indent="1"/>
    </xf>
    <xf numFmtId="0" fontId="9" fillId="10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left" vertical="top" wrapText="1" indent="1"/>
    </xf>
    <xf numFmtId="0" fontId="10" fillId="11" borderId="1" xfId="0" applyFont="1" applyFill="1" applyBorder="1" applyAlignment="1">
      <alignment horizontal="left" vertical="top" wrapText="1" indent="1"/>
    </xf>
    <xf numFmtId="0" fontId="4" fillId="11" borderId="1" xfId="0" applyFont="1" applyFill="1" applyBorder="1" applyAlignment="1">
      <alignment horizontal="left" vertical="top" wrapText="1" indent="1"/>
    </xf>
    <xf numFmtId="0" fontId="9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top" wrapText="1" indent="1"/>
    </xf>
    <xf numFmtId="0" fontId="10" fillId="13" borderId="1" xfId="0" applyFont="1" applyFill="1" applyBorder="1" applyAlignment="1">
      <alignment horizontal="left" vertical="top" wrapText="1" indent="1"/>
    </xf>
    <xf numFmtId="0" fontId="4" fillId="13" borderId="1" xfId="0" applyFont="1" applyFill="1" applyBorder="1" applyAlignment="1">
      <alignment horizontal="left" vertical="top" wrapText="1" indent="1"/>
    </xf>
    <xf numFmtId="0" fontId="9" fillId="14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top" wrapText="1" indent="1"/>
    </xf>
    <xf numFmtId="0" fontId="6" fillId="2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top" wrapText="1" indent="1"/>
    </xf>
    <xf numFmtId="0" fontId="17" fillId="5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17" fillId="1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top" wrapText="1" indent="1"/>
    </xf>
    <xf numFmtId="0" fontId="6" fillId="15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top" wrapText="1" indent="1"/>
    </xf>
    <xf numFmtId="0" fontId="6" fillId="12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top" wrapText="1" indent="1"/>
    </xf>
    <xf numFmtId="0" fontId="6" fillId="14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 wrapText="1" indent="1"/>
    </xf>
    <xf numFmtId="0" fontId="21" fillId="7" borderId="1" xfId="0" applyFont="1" applyFill="1" applyBorder="1" applyAlignment="1">
      <alignment horizontal="left" vertical="center" wrapText="1" indent="1"/>
    </xf>
    <xf numFmtId="0" fontId="22" fillId="7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left" vertical="center" wrapText="1" indent="1"/>
    </xf>
    <xf numFmtId="0" fontId="21" fillId="9" borderId="1" xfId="0" applyFont="1" applyFill="1" applyBorder="1" applyAlignment="1">
      <alignment horizontal="left" vertical="center" wrapText="1" indent="1"/>
    </xf>
    <xf numFmtId="0" fontId="22" fillId="9" borderId="1" xfId="0" applyFont="1" applyFill="1" applyBorder="1" applyAlignment="1">
      <alignment horizontal="center" vertical="center"/>
    </xf>
    <xf numFmtId="0" fontId="23" fillId="9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left" vertical="center" wrapText="1" indent="1"/>
    </xf>
    <xf numFmtId="0" fontId="21" fillId="11" borderId="1" xfId="0" applyFont="1" applyFill="1" applyBorder="1" applyAlignment="1">
      <alignment horizontal="left" vertical="center" wrapText="1" indent="1"/>
    </xf>
    <xf numFmtId="0" fontId="22" fillId="11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 wrapText="1" indent="1"/>
    </xf>
    <xf numFmtId="0" fontId="21" fillId="13" borderId="1" xfId="0" applyFont="1" applyFill="1" applyBorder="1" applyAlignment="1">
      <alignment horizontal="left" vertical="center" wrapText="1" indent="1"/>
    </xf>
    <xf numFmtId="0" fontId="22" fillId="13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left" vertical="top" wrapText="1" indent="1"/>
    </xf>
    <xf numFmtId="0" fontId="16" fillId="16" borderId="1" xfId="0" applyFont="1" applyFill="1" applyBorder="1" applyAlignment="1">
      <alignment horizontal="left" vertical="top" wrapText="1" indent="1"/>
    </xf>
    <xf numFmtId="0" fontId="28" fillId="16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left" vertical="top" wrapText="1" indent="1"/>
    </xf>
    <xf numFmtId="0" fontId="16" fillId="4" borderId="1" xfId="0" applyFont="1" applyFill="1" applyBorder="1" applyAlignment="1">
      <alignment horizontal="left" vertical="top" wrapText="1" indent="1"/>
    </xf>
    <xf numFmtId="0" fontId="28" fillId="4" borderId="1" xfId="0" applyFont="1" applyFill="1" applyBorder="1" applyAlignment="1">
      <alignment horizontal="left" vertical="top" wrapText="1" indent="1"/>
    </xf>
    <xf numFmtId="0" fontId="17" fillId="2" borderId="1" xfId="0" applyFont="1" applyFill="1" applyBorder="1" applyAlignment="1">
      <alignment horizontal="center" vertical="center"/>
    </xf>
    <xf numFmtId="0" fontId="29" fillId="16" borderId="1" xfId="0" applyFont="1" applyFill="1" applyBorder="1" applyAlignment="1">
      <alignment horizontal="left" vertical="top" wrapText="1" indent="1"/>
    </xf>
    <xf numFmtId="0" fontId="29" fillId="4" borderId="1" xfId="0" applyFont="1" applyFill="1" applyBorder="1" applyAlignment="1">
      <alignment horizontal="left" vertical="top" wrapText="1" indent="1"/>
    </xf>
    <xf numFmtId="0" fontId="17" fillId="6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left" vertical="top" wrapText="1" indent="1"/>
    </xf>
    <xf numFmtId="0" fontId="30" fillId="13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/>
    </xf>
    <xf numFmtId="0" fontId="29" fillId="9" borderId="1" xfId="0" applyFont="1" applyFill="1" applyBorder="1" applyAlignment="1">
      <alignment horizontal="left" vertical="top" wrapText="1" indent="1"/>
    </xf>
    <xf numFmtId="0" fontId="29" fillId="11" borderId="1" xfId="0" applyFont="1" applyFill="1" applyBorder="1" applyAlignment="1">
      <alignment horizontal="left" vertical="top" wrapText="1" indent="1"/>
    </xf>
    <xf numFmtId="0" fontId="29" fillId="13" borderId="1" xfId="0" applyFont="1" applyFill="1" applyBorder="1" applyAlignment="1">
      <alignment horizontal="left" vertical="top" wrapText="1" indent="1"/>
    </xf>
    <xf numFmtId="0" fontId="15" fillId="9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left" vertical="top" wrapText="1" indent="1"/>
    </xf>
    <xf numFmtId="0" fontId="33" fillId="16" borderId="1" xfId="0" applyFont="1" applyFill="1" applyBorder="1" applyAlignment="1">
      <alignment horizontal="left" vertical="top" wrapText="1" indent="1"/>
    </xf>
    <xf numFmtId="0" fontId="8" fillId="4" borderId="1" xfId="0" applyFont="1" applyFill="1" applyBorder="1" applyAlignment="1">
      <alignment horizontal="left" vertical="top" wrapText="1" indent="1"/>
    </xf>
    <xf numFmtId="0" fontId="33" fillId="4" borderId="1" xfId="0" applyFont="1" applyFill="1" applyBorder="1" applyAlignment="1">
      <alignment horizontal="left" vertical="top" wrapText="1" indent="1"/>
    </xf>
    <xf numFmtId="0" fontId="0" fillId="0" borderId="0" xfId="0" applyBorder="1"/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8" fillId="7" borderId="0" xfId="0" applyFont="1" applyFill="1" applyBorder="1" applyAlignment="1">
      <alignment horizontal="left" vertical="center" indent="1"/>
    </xf>
    <xf numFmtId="0" fontId="6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5" fillId="1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F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74B5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D700"/>
      <rgbColor rgb="FFB8860B"/>
      <rgbColor rgb="FFED7D31"/>
      <rgbColor rgb="FF595959"/>
      <rgbColor rgb="FF70AD47"/>
      <rgbColor rgb="FF1F3864"/>
      <rgbColor rgb="FF339966"/>
      <rgbColor rgb="FF003300"/>
      <rgbColor rgb="FF333300"/>
      <rgbColor rgb="FF843C0C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zoomScaleNormal="100" workbookViewId="0">
      <selection sqref="A1:K1"/>
    </sheetView>
  </sheetViews>
  <sheetFormatPr baseColWidth="10" defaultColWidth="8.6640625" defaultRowHeight="14.4" x14ac:dyDescent="0.3"/>
  <cols>
    <col min="1" max="1" width="2" customWidth="1"/>
    <col min="2" max="2" width="5" customWidth="1"/>
    <col min="3" max="3" width="26" customWidth="1"/>
    <col min="4" max="4" width="65" customWidth="1"/>
    <col min="5" max="11" width="3" customWidth="1"/>
  </cols>
  <sheetData>
    <row r="1" spans="1:11" ht="15" customHeight="1" x14ac:dyDescent="0.3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ht="30" customHeight="1" x14ac:dyDescent="0.3">
      <c r="A2" s="91" t="s">
        <v>0</v>
      </c>
      <c r="B2" s="91"/>
      <c r="C2" s="91"/>
      <c r="D2" s="91"/>
      <c r="E2" s="91"/>
      <c r="F2" s="91"/>
      <c r="G2" s="91"/>
      <c r="H2" s="91"/>
      <c r="I2" s="91"/>
      <c r="J2" s="91"/>
      <c r="K2" s="91"/>
    </row>
    <row r="3" spans="1:11" ht="30" customHeight="1" x14ac:dyDescent="0.3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</row>
    <row r="4" spans="1:11" ht="30" customHeight="1" x14ac:dyDescent="0.3">
      <c r="A4" s="91"/>
      <c r="B4" s="91"/>
      <c r="C4" s="91"/>
      <c r="D4" s="91"/>
      <c r="E4" s="91"/>
      <c r="F4" s="91"/>
      <c r="G4" s="91"/>
      <c r="H4" s="91"/>
      <c r="I4" s="91"/>
      <c r="J4" s="91"/>
      <c r="K4" s="91"/>
    </row>
    <row r="5" spans="1:11" ht="30" customHeight="1" x14ac:dyDescent="0.3">
      <c r="A5" s="91"/>
      <c r="B5" s="91"/>
      <c r="C5" s="91"/>
      <c r="D5" s="91"/>
      <c r="E5" s="91"/>
      <c r="F5" s="91"/>
      <c r="G5" s="91"/>
      <c r="H5" s="91"/>
      <c r="I5" s="91"/>
      <c r="J5" s="91"/>
      <c r="K5" s="91"/>
    </row>
    <row r="6" spans="1:11" ht="19.5" customHeight="1" x14ac:dyDescent="0.3">
      <c r="A6" s="92" t="s">
        <v>1</v>
      </c>
      <c r="B6" s="92"/>
      <c r="C6" s="92"/>
      <c r="D6" s="92"/>
      <c r="E6" s="92"/>
      <c r="F6" s="92"/>
      <c r="G6" s="92"/>
      <c r="H6" s="92"/>
      <c r="I6" s="92"/>
      <c r="J6" s="92"/>
      <c r="K6" s="92"/>
    </row>
    <row r="7" spans="1:11" x14ac:dyDescent="0.3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</row>
    <row r="8" spans="1:11" ht="12" customHeight="1" x14ac:dyDescent="0.3">
      <c r="A8" s="90"/>
      <c r="B8" s="90"/>
      <c r="C8" s="90"/>
      <c r="D8" s="90"/>
      <c r="E8" s="90"/>
      <c r="F8" s="90"/>
      <c r="G8" s="90"/>
      <c r="H8" s="90"/>
      <c r="I8" s="90"/>
      <c r="J8" s="90"/>
      <c r="K8" s="90"/>
    </row>
    <row r="9" spans="1:11" ht="18" customHeight="1" x14ac:dyDescent="0.3">
      <c r="B9" s="1" t="s">
        <v>2</v>
      </c>
      <c r="C9" s="2" t="s">
        <v>3</v>
      </c>
    </row>
    <row r="10" spans="1:11" ht="18" customHeight="1" x14ac:dyDescent="0.3">
      <c r="B10" s="1" t="s">
        <v>4</v>
      </c>
      <c r="C10" s="2" t="s">
        <v>5</v>
      </c>
    </row>
    <row r="11" spans="1:11" ht="18" customHeight="1" x14ac:dyDescent="0.3">
      <c r="B11" s="1" t="s">
        <v>6</v>
      </c>
      <c r="C11" s="2" t="s">
        <v>7</v>
      </c>
    </row>
    <row r="12" spans="1:11" ht="18" customHeight="1" x14ac:dyDescent="0.3">
      <c r="B12" s="1" t="s">
        <v>8</v>
      </c>
      <c r="C12" s="2" t="s">
        <v>9</v>
      </c>
    </row>
    <row r="14" spans="1:11" ht="19.5" customHeight="1" x14ac:dyDescent="0.3">
      <c r="A14" s="93" t="s">
        <v>10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</row>
    <row r="15" spans="1:11" ht="15.75" customHeight="1" x14ac:dyDescent="0.3">
      <c r="B15" s="3" t="s">
        <v>11</v>
      </c>
      <c r="C15" s="3" t="s">
        <v>12</v>
      </c>
      <c r="D15" s="3" t="s">
        <v>13</v>
      </c>
    </row>
    <row r="16" spans="1:11" ht="15.75" customHeight="1" x14ac:dyDescent="0.3">
      <c r="B16" s="4">
        <v>1</v>
      </c>
      <c r="C16" s="5" t="s">
        <v>14</v>
      </c>
      <c r="D16" s="5" t="s">
        <v>15</v>
      </c>
    </row>
    <row r="17" spans="2:4" ht="15.75" customHeight="1" x14ac:dyDescent="0.3">
      <c r="B17" s="6">
        <v>2</v>
      </c>
      <c r="C17" s="7" t="s">
        <v>16</v>
      </c>
      <c r="D17" s="7" t="s">
        <v>17</v>
      </c>
    </row>
    <row r="18" spans="2:4" ht="15.75" customHeight="1" x14ac:dyDescent="0.3">
      <c r="B18" s="4">
        <v>3</v>
      </c>
      <c r="C18" s="5" t="s">
        <v>18</v>
      </c>
      <c r="D18" s="5" t="s">
        <v>19</v>
      </c>
    </row>
    <row r="19" spans="2:4" ht="15.75" customHeight="1" x14ac:dyDescent="0.3">
      <c r="B19" s="6">
        <v>4</v>
      </c>
      <c r="C19" s="7" t="s">
        <v>20</v>
      </c>
      <c r="D19" s="7" t="s">
        <v>21</v>
      </c>
    </row>
    <row r="20" spans="2:4" ht="15.75" customHeight="1" x14ac:dyDescent="0.3">
      <c r="B20" s="4">
        <v>5</v>
      </c>
      <c r="C20" s="5" t="s">
        <v>22</v>
      </c>
      <c r="D20" s="5" t="s">
        <v>23</v>
      </c>
    </row>
    <row r="21" spans="2:4" ht="15.75" customHeight="1" x14ac:dyDescent="0.3">
      <c r="B21" s="6">
        <v>6</v>
      </c>
      <c r="C21" s="7" t="s">
        <v>24</v>
      </c>
      <c r="D21" s="7" t="s">
        <v>25</v>
      </c>
    </row>
    <row r="22" spans="2:4" ht="15.75" customHeight="1" x14ac:dyDescent="0.3">
      <c r="B22" s="4">
        <v>7</v>
      </c>
      <c r="C22" s="5" t="s">
        <v>26</v>
      </c>
      <c r="D22" s="5" t="s">
        <v>27</v>
      </c>
    </row>
    <row r="23" spans="2:4" ht="15.75" customHeight="1" x14ac:dyDescent="0.3">
      <c r="B23" s="6">
        <v>8</v>
      </c>
      <c r="C23" s="7" t="s">
        <v>28</v>
      </c>
      <c r="D23" s="7" t="s">
        <v>29</v>
      </c>
    </row>
  </sheetData>
  <mergeCells count="5">
    <mergeCell ref="A1:K1"/>
    <mergeCell ref="A2:K5"/>
    <mergeCell ref="A6:K7"/>
    <mergeCell ref="A8:K8"/>
    <mergeCell ref="A14:K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Normal="100" workbookViewId="0">
      <pane xSplit="1" ySplit="3" topLeftCell="B6" activePane="bottomRight" state="frozen"/>
      <selection pane="topRight" activeCell="B1" sqref="B1"/>
      <selection pane="bottomLeft" activeCell="A4" sqref="A4"/>
      <selection pane="bottomRight" activeCell="D13" sqref="D13"/>
    </sheetView>
  </sheetViews>
  <sheetFormatPr baseColWidth="10" defaultColWidth="8.6640625" defaultRowHeight="14.4" x14ac:dyDescent="0.3"/>
  <cols>
    <col min="1" max="1" width="28.6640625" customWidth="1"/>
    <col min="2" max="2" width="17.109375" customWidth="1"/>
    <col min="3" max="3" width="17.5546875" customWidth="1"/>
    <col min="4" max="4" width="52" customWidth="1"/>
    <col min="5" max="5" width="46" customWidth="1"/>
    <col min="6" max="6" width="18" customWidth="1"/>
    <col min="7" max="8" width="16" customWidth="1"/>
    <col min="9" max="10" width="8" customWidth="1"/>
  </cols>
  <sheetData>
    <row r="1" spans="1:10" ht="24" customHeight="1" x14ac:dyDescent="0.3">
      <c r="A1" s="94" t="s">
        <v>30</v>
      </c>
      <c r="B1" s="94"/>
      <c r="C1" s="94"/>
      <c r="D1" s="94"/>
      <c r="E1" s="94"/>
      <c r="F1" s="94"/>
      <c r="G1" s="94"/>
      <c r="H1" s="94"/>
      <c r="I1" s="94"/>
      <c r="J1" s="94"/>
    </row>
    <row r="2" spans="1:10" ht="15.75" customHeight="1" x14ac:dyDescent="0.3">
      <c r="A2" s="95" t="s">
        <v>31</v>
      </c>
      <c r="B2" s="95"/>
      <c r="C2" s="95"/>
      <c r="D2" s="95"/>
      <c r="E2" s="95"/>
      <c r="F2" s="95"/>
      <c r="G2" s="95"/>
      <c r="H2" s="95"/>
      <c r="I2" s="95"/>
      <c r="J2" s="95"/>
    </row>
    <row r="3" spans="1:10" ht="27.75" customHeight="1" x14ac:dyDescent="0.3">
      <c r="A3" s="8" t="s">
        <v>32</v>
      </c>
      <c r="B3" s="8" t="s">
        <v>33</v>
      </c>
      <c r="C3" s="8" t="s">
        <v>34</v>
      </c>
      <c r="D3" s="8" t="s">
        <v>35</v>
      </c>
      <c r="E3" s="8" t="s">
        <v>36</v>
      </c>
      <c r="F3" s="8" t="s">
        <v>37</v>
      </c>
      <c r="G3" s="8" t="s">
        <v>38</v>
      </c>
      <c r="H3" s="8" t="s">
        <v>39</v>
      </c>
      <c r="I3" s="8" t="s">
        <v>40</v>
      </c>
      <c r="J3" s="8" t="s">
        <v>41</v>
      </c>
    </row>
    <row r="4" spans="1:10" ht="79.5" customHeight="1" x14ac:dyDescent="0.3">
      <c r="A4" s="9" t="s">
        <v>869</v>
      </c>
      <c r="B4" s="10" t="s">
        <v>43</v>
      </c>
      <c r="C4" s="11" t="s">
        <v>871</v>
      </c>
      <c r="D4" s="12" t="s">
        <v>44</v>
      </c>
      <c r="E4" s="12" t="s">
        <v>45</v>
      </c>
      <c r="F4" s="12" t="s">
        <v>46</v>
      </c>
      <c r="G4" s="12" t="s">
        <v>47</v>
      </c>
      <c r="H4" s="12" t="s">
        <v>48</v>
      </c>
      <c r="I4" s="12">
        <v>4</v>
      </c>
      <c r="J4" s="12">
        <v>3</v>
      </c>
    </row>
    <row r="5" spans="1:10" ht="79.5" customHeight="1" x14ac:dyDescent="0.3">
      <c r="A5" s="13" t="s">
        <v>870</v>
      </c>
      <c r="B5" s="14" t="s">
        <v>50</v>
      </c>
      <c r="C5" s="11" t="s">
        <v>872</v>
      </c>
      <c r="D5" s="12" t="s">
        <v>51</v>
      </c>
      <c r="E5" s="12" t="s">
        <v>52</v>
      </c>
      <c r="F5" s="12" t="s">
        <v>53</v>
      </c>
      <c r="G5" s="12" t="s">
        <v>54</v>
      </c>
      <c r="H5" s="12" t="s">
        <v>55</v>
      </c>
      <c r="I5" s="12">
        <v>4</v>
      </c>
      <c r="J5" s="12">
        <v>3</v>
      </c>
    </row>
    <row r="6" spans="1:10" ht="79.5" customHeight="1" x14ac:dyDescent="0.3">
      <c r="A6" s="15" t="s">
        <v>56</v>
      </c>
      <c r="B6" s="16" t="s">
        <v>57</v>
      </c>
      <c r="C6" s="17" t="s">
        <v>873</v>
      </c>
      <c r="D6" s="18" t="s">
        <v>58</v>
      </c>
      <c r="E6" s="18" t="s">
        <v>59</v>
      </c>
      <c r="F6" s="18" t="s">
        <v>60</v>
      </c>
      <c r="G6" s="18" t="s">
        <v>61</v>
      </c>
      <c r="H6" s="18" t="s">
        <v>62</v>
      </c>
      <c r="I6" s="18">
        <v>5</v>
      </c>
      <c r="J6" s="18">
        <v>3</v>
      </c>
    </row>
    <row r="7" spans="1:10" ht="79.5" customHeight="1" x14ac:dyDescent="0.3">
      <c r="A7" s="19" t="s">
        <v>63</v>
      </c>
      <c r="B7" s="20" t="s">
        <v>64</v>
      </c>
      <c r="C7" s="21" t="s">
        <v>874</v>
      </c>
      <c r="D7" s="22" t="s">
        <v>65</v>
      </c>
      <c r="E7" s="22" t="s">
        <v>66</v>
      </c>
      <c r="F7" s="22" t="s">
        <v>67</v>
      </c>
      <c r="G7" s="22" t="s">
        <v>54</v>
      </c>
      <c r="H7" s="22" t="s">
        <v>68</v>
      </c>
      <c r="I7" s="22">
        <v>4</v>
      </c>
      <c r="J7" s="22">
        <v>3</v>
      </c>
    </row>
    <row r="8" spans="1:10" ht="79.5" customHeight="1" x14ac:dyDescent="0.3">
      <c r="A8" s="23" t="s">
        <v>69</v>
      </c>
      <c r="B8" s="24" t="s">
        <v>70</v>
      </c>
      <c r="C8" s="25" t="s">
        <v>875</v>
      </c>
      <c r="D8" s="26" t="s">
        <v>71</v>
      </c>
      <c r="E8" s="26" t="s">
        <v>72</v>
      </c>
      <c r="F8" s="26" t="s">
        <v>73</v>
      </c>
      <c r="G8" s="26" t="s">
        <v>74</v>
      </c>
      <c r="H8" s="26" t="s">
        <v>75</v>
      </c>
      <c r="I8" s="26">
        <v>4</v>
      </c>
      <c r="J8" s="26">
        <v>3</v>
      </c>
    </row>
    <row r="9" spans="1:10" ht="79.5" customHeight="1" x14ac:dyDescent="0.3">
      <c r="A9" s="27" t="s">
        <v>76</v>
      </c>
      <c r="B9" s="28" t="s">
        <v>77</v>
      </c>
      <c r="C9" s="17" t="s">
        <v>876</v>
      </c>
      <c r="D9" s="18" t="s">
        <v>78</v>
      </c>
      <c r="E9" s="18" t="s">
        <v>79</v>
      </c>
      <c r="F9" s="18" t="s">
        <v>80</v>
      </c>
      <c r="G9" s="18" t="s">
        <v>81</v>
      </c>
      <c r="H9" s="18" t="s">
        <v>82</v>
      </c>
      <c r="I9" s="18">
        <v>4</v>
      </c>
      <c r="J9" s="18">
        <v>3</v>
      </c>
    </row>
    <row r="13" spans="1:10" x14ac:dyDescent="0.3">
      <c r="C13" t="s">
        <v>868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zoomScaleNormal="100" workbookViewId="0">
      <pane xSplit="3" ySplit="3" topLeftCell="D33" activePane="bottomRight" state="frozen"/>
      <selection pane="topRight" activeCell="D1" sqref="D1"/>
      <selection pane="bottomLeft" activeCell="A4" sqref="A4"/>
      <selection pane="bottomRight" activeCell="B46" sqref="B46"/>
    </sheetView>
  </sheetViews>
  <sheetFormatPr baseColWidth="10" defaultColWidth="8.6640625" defaultRowHeight="14.4" x14ac:dyDescent="0.3"/>
  <cols>
    <col min="1" max="1" width="8.6640625" customWidth="1"/>
    <col min="2" max="2" width="13" customWidth="1"/>
    <col min="3" max="3" width="7" customWidth="1"/>
    <col min="4" max="4" width="32" customWidth="1"/>
    <col min="5" max="6" width="42" customWidth="1"/>
    <col min="7" max="7" width="22" customWidth="1"/>
    <col min="8" max="8" width="11" customWidth="1"/>
    <col min="9" max="11" width="12" customWidth="1"/>
    <col min="12" max="12" width="18" customWidth="1"/>
    <col min="13" max="13" width="16" customWidth="1"/>
  </cols>
  <sheetData>
    <row r="1" spans="1:13" ht="24" customHeight="1" x14ac:dyDescent="0.3">
      <c r="A1" s="94" t="s">
        <v>83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</row>
    <row r="2" spans="1:13" ht="15.75" customHeight="1" x14ac:dyDescent="0.3">
      <c r="A2" s="95" t="s">
        <v>84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3" ht="27.75" customHeight="1" x14ac:dyDescent="0.3">
      <c r="A3" s="8" t="s">
        <v>85</v>
      </c>
      <c r="B3" s="8" t="s">
        <v>49</v>
      </c>
      <c r="C3" s="8" t="s">
        <v>86</v>
      </c>
      <c r="D3" s="8" t="s">
        <v>87</v>
      </c>
      <c r="E3" s="8" t="s">
        <v>88</v>
      </c>
      <c r="F3" s="8" t="s">
        <v>89</v>
      </c>
      <c r="G3" s="8" t="s">
        <v>90</v>
      </c>
      <c r="H3" s="8" t="s">
        <v>91</v>
      </c>
      <c r="I3" s="8" t="s">
        <v>92</v>
      </c>
      <c r="J3" s="8" t="s">
        <v>93</v>
      </c>
      <c r="K3" s="8" t="s">
        <v>94</v>
      </c>
      <c r="L3" s="8" t="s">
        <v>95</v>
      </c>
      <c r="M3" s="8" t="s">
        <v>96</v>
      </c>
    </row>
    <row r="4" spans="1:13" ht="49.5" hidden="1" customHeight="1" x14ac:dyDescent="0.3">
      <c r="A4" s="29" t="s">
        <v>42</v>
      </c>
      <c r="B4" s="30" t="s">
        <v>97</v>
      </c>
      <c r="C4" s="31" t="s">
        <v>98</v>
      </c>
      <c r="D4" s="30" t="s">
        <v>99</v>
      </c>
      <c r="E4" s="30" t="s">
        <v>100</v>
      </c>
      <c r="F4" s="30" t="s">
        <v>101</v>
      </c>
      <c r="G4" s="30" t="s">
        <v>102</v>
      </c>
      <c r="H4" s="30" t="s">
        <v>103</v>
      </c>
      <c r="I4" s="32" t="s">
        <v>104</v>
      </c>
      <c r="J4" s="33" t="s">
        <v>105</v>
      </c>
      <c r="K4" s="34" t="s">
        <v>106</v>
      </c>
      <c r="L4" s="30" t="s">
        <v>107</v>
      </c>
      <c r="M4" s="30" t="s">
        <v>108</v>
      </c>
    </row>
    <row r="5" spans="1:13" ht="49.5" hidden="1" customHeight="1" x14ac:dyDescent="0.3">
      <c r="A5" s="29" t="s">
        <v>42</v>
      </c>
      <c r="B5" s="30" t="s">
        <v>109</v>
      </c>
      <c r="C5" s="31" t="s">
        <v>98</v>
      </c>
      <c r="D5" s="30" t="s">
        <v>110</v>
      </c>
      <c r="E5" s="30" t="s">
        <v>111</v>
      </c>
      <c r="F5" s="30" t="s">
        <v>112</v>
      </c>
      <c r="G5" s="30" t="s">
        <v>113</v>
      </c>
      <c r="H5" s="30" t="s">
        <v>114</v>
      </c>
      <c r="I5" s="32" t="s">
        <v>115</v>
      </c>
      <c r="J5" s="33" t="s">
        <v>116</v>
      </c>
      <c r="K5" s="34" t="s">
        <v>117</v>
      </c>
      <c r="L5" s="30" t="s">
        <v>118</v>
      </c>
      <c r="M5" s="30" t="s">
        <v>119</v>
      </c>
    </row>
    <row r="6" spans="1:13" ht="49.5" hidden="1" customHeight="1" x14ac:dyDescent="0.3">
      <c r="A6" s="29" t="s">
        <v>42</v>
      </c>
      <c r="B6" s="30" t="s">
        <v>120</v>
      </c>
      <c r="C6" s="31" t="s">
        <v>98</v>
      </c>
      <c r="D6" s="30" t="s">
        <v>121</v>
      </c>
      <c r="E6" s="30" t="s">
        <v>122</v>
      </c>
      <c r="F6" s="30" t="s">
        <v>123</v>
      </c>
      <c r="G6" s="30" t="s">
        <v>124</v>
      </c>
      <c r="H6" s="30" t="s">
        <v>125</v>
      </c>
      <c r="I6" s="32" t="s">
        <v>104</v>
      </c>
      <c r="J6" s="33" t="s">
        <v>105</v>
      </c>
      <c r="K6" s="34" t="s">
        <v>106</v>
      </c>
      <c r="L6" s="30" t="s">
        <v>126</v>
      </c>
      <c r="M6" s="30" t="s">
        <v>108</v>
      </c>
    </row>
    <row r="7" spans="1:13" ht="49.5" hidden="1" customHeight="1" x14ac:dyDescent="0.3">
      <c r="A7" s="29" t="s">
        <v>42</v>
      </c>
      <c r="B7" s="30" t="s">
        <v>127</v>
      </c>
      <c r="C7" s="31" t="s">
        <v>98</v>
      </c>
      <c r="D7" s="30" t="s">
        <v>128</v>
      </c>
      <c r="E7" s="30" t="s">
        <v>129</v>
      </c>
      <c r="F7" s="30" t="s">
        <v>130</v>
      </c>
      <c r="G7" s="30" t="s">
        <v>131</v>
      </c>
      <c r="H7" s="30" t="s">
        <v>114</v>
      </c>
      <c r="I7" s="32" t="s">
        <v>132</v>
      </c>
      <c r="J7" s="33" t="s">
        <v>133</v>
      </c>
      <c r="K7" s="34" t="s">
        <v>106</v>
      </c>
      <c r="L7" s="30" t="s">
        <v>134</v>
      </c>
      <c r="M7" s="30" t="s">
        <v>108</v>
      </c>
    </row>
    <row r="8" spans="1:13" ht="49.5" hidden="1" customHeight="1" x14ac:dyDescent="0.3">
      <c r="A8" s="29" t="s">
        <v>42</v>
      </c>
      <c r="B8" s="30" t="s">
        <v>135</v>
      </c>
      <c r="C8" s="35" t="s">
        <v>136</v>
      </c>
      <c r="D8" s="30" t="s">
        <v>137</v>
      </c>
      <c r="E8" s="30" t="s">
        <v>138</v>
      </c>
      <c r="F8" s="30" t="s">
        <v>139</v>
      </c>
      <c r="G8" s="30" t="s">
        <v>140</v>
      </c>
      <c r="H8" s="30" t="s">
        <v>141</v>
      </c>
      <c r="I8" s="32" t="s">
        <v>142</v>
      </c>
      <c r="J8" s="33" t="s">
        <v>143</v>
      </c>
      <c r="K8" s="34" t="s">
        <v>144</v>
      </c>
      <c r="L8" s="30" t="s">
        <v>145</v>
      </c>
      <c r="M8" s="30" t="s">
        <v>146</v>
      </c>
    </row>
    <row r="9" spans="1:13" ht="49.5" hidden="1" customHeight="1" x14ac:dyDescent="0.3">
      <c r="A9" s="29" t="s">
        <v>42</v>
      </c>
      <c r="B9" s="30" t="s">
        <v>147</v>
      </c>
      <c r="C9" s="35" t="s">
        <v>136</v>
      </c>
      <c r="D9" s="30" t="s">
        <v>148</v>
      </c>
      <c r="E9" s="30" t="s">
        <v>149</v>
      </c>
      <c r="F9" s="30" t="s">
        <v>150</v>
      </c>
      <c r="G9" s="30" t="s">
        <v>151</v>
      </c>
      <c r="H9" s="30" t="s">
        <v>114</v>
      </c>
      <c r="I9" s="32" t="s">
        <v>152</v>
      </c>
      <c r="J9" s="33" t="s">
        <v>153</v>
      </c>
      <c r="K9" s="34" t="s">
        <v>154</v>
      </c>
      <c r="L9" s="30" t="s">
        <v>155</v>
      </c>
      <c r="M9" s="30" t="s">
        <v>108</v>
      </c>
    </row>
    <row r="10" spans="1:13" ht="49.5" hidden="1" customHeight="1" x14ac:dyDescent="0.3">
      <c r="A10" s="29" t="s">
        <v>42</v>
      </c>
      <c r="B10" s="30" t="s">
        <v>156</v>
      </c>
      <c r="C10" s="35" t="s">
        <v>136</v>
      </c>
      <c r="D10" s="30" t="s">
        <v>157</v>
      </c>
      <c r="E10" s="30" t="s">
        <v>158</v>
      </c>
      <c r="F10" s="30" t="s">
        <v>159</v>
      </c>
      <c r="G10" s="30" t="s">
        <v>160</v>
      </c>
      <c r="H10" s="30" t="s">
        <v>125</v>
      </c>
      <c r="I10" s="32" t="s">
        <v>161</v>
      </c>
      <c r="J10" s="33" t="s">
        <v>162</v>
      </c>
      <c r="K10" s="34" t="s">
        <v>163</v>
      </c>
      <c r="L10" s="30" t="s">
        <v>164</v>
      </c>
      <c r="M10" s="30" t="s">
        <v>108</v>
      </c>
    </row>
    <row r="11" spans="1:13" ht="49.5" hidden="1" customHeight="1" x14ac:dyDescent="0.3">
      <c r="A11" s="36" t="s">
        <v>49</v>
      </c>
      <c r="B11" s="30" t="s">
        <v>165</v>
      </c>
      <c r="C11" s="31" t="s">
        <v>98</v>
      </c>
      <c r="D11" s="30" t="s">
        <v>166</v>
      </c>
      <c r="E11" s="30" t="s">
        <v>167</v>
      </c>
      <c r="F11" s="30" t="s">
        <v>168</v>
      </c>
      <c r="G11" s="30" t="s">
        <v>169</v>
      </c>
      <c r="H11" s="30" t="s">
        <v>125</v>
      </c>
      <c r="I11" s="32" t="s">
        <v>132</v>
      </c>
      <c r="J11" s="33" t="s">
        <v>133</v>
      </c>
      <c r="K11" s="34" t="s">
        <v>106</v>
      </c>
      <c r="L11" s="30" t="s">
        <v>170</v>
      </c>
      <c r="M11" s="30" t="s">
        <v>54</v>
      </c>
    </row>
    <row r="12" spans="1:13" ht="49.5" hidden="1" customHeight="1" x14ac:dyDescent="0.3">
      <c r="A12" s="36" t="s">
        <v>49</v>
      </c>
      <c r="B12" s="30" t="s">
        <v>171</v>
      </c>
      <c r="C12" s="31" t="s">
        <v>98</v>
      </c>
      <c r="D12" s="30" t="s">
        <v>172</v>
      </c>
      <c r="E12" s="30" t="s">
        <v>173</v>
      </c>
      <c r="F12" s="30" t="s">
        <v>174</v>
      </c>
      <c r="G12" s="30" t="s">
        <v>175</v>
      </c>
      <c r="H12" s="30" t="s">
        <v>103</v>
      </c>
      <c r="I12" s="32" t="s">
        <v>104</v>
      </c>
      <c r="J12" s="33" t="s">
        <v>105</v>
      </c>
      <c r="K12" s="34" t="s">
        <v>106</v>
      </c>
      <c r="L12" s="30" t="s">
        <v>176</v>
      </c>
      <c r="M12" s="30" t="s">
        <v>54</v>
      </c>
    </row>
    <row r="13" spans="1:13" ht="49.5" hidden="1" customHeight="1" x14ac:dyDescent="0.3">
      <c r="A13" s="36" t="s">
        <v>49</v>
      </c>
      <c r="B13" s="30" t="s">
        <v>177</v>
      </c>
      <c r="C13" s="31" t="s">
        <v>98</v>
      </c>
      <c r="D13" s="30" t="s">
        <v>178</v>
      </c>
      <c r="E13" s="30" t="s">
        <v>179</v>
      </c>
      <c r="F13" s="30" t="s">
        <v>180</v>
      </c>
      <c r="G13" s="30" t="s">
        <v>181</v>
      </c>
      <c r="H13" s="30" t="s">
        <v>103</v>
      </c>
      <c r="I13" s="32" t="s">
        <v>104</v>
      </c>
      <c r="J13" s="33" t="s">
        <v>105</v>
      </c>
      <c r="K13" s="34" t="s">
        <v>106</v>
      </c>
      <c r="L13" s="30" t="s">
        <v>182</v>
      </c>
      <c r="M13" s="30" t="s">
        <v>119</v>
      </c>
    </row>
    <row r="14" spans="1:13" ht="49.5" hidden="1" customHeight="1" x14ac:dyDescent="0.3">
      <c r="A14" s="36" t="s">
        <v>49</v>
      </c>
      <c r="B14" s="30" t="s">
        <v>183</v>
      </c>
      <c r="C14" s="31" t="s">
        <v>98</v>
      </c>
      <c r="D14" s="30" t="s">
        <v>184</v>
      </c>
      <c r="E14" s="30" t="s">
        <v>185</v>
      </c>
      <c r="F14" s="30" t="s">
        <v>186</v>
      </c>
      <c r="G14" s="30" t="s">
        <v>187</v>
      </c>
      <c r="H14" s="30" t="s">
        <v>114</v>
      </c>
      <c r="I14" s="32" t="s">
        <v>152</v>
      </c>
      <c r="J14" s="33" t="s">
        <v>153</v>
      </c>
      <c r="K14" s="34" t="s">
        <v>154</v>
      </c>
      <c r="L14" s="30" t="s">
        <v>188</v>
      </c>
      <c r="M14" s="30" t="s">
        <v>189</v>
      </c>
    </row>
    <row r="15" spans="1:13" ht="49.5" hidden="1" customHeight="1" x14ac:dyDescent="0.3">
      <c r="A15" s="36" t="s">
        <v>49</v>
      </c>
      <c r="B15" s="30" t="s">
        <v>190</v>
      </c>
      <c r="C15" s="35" t="s">
        <v>136</v>
      </c>
      <c r="D15" s="30" t="s">
        <v>191</v>
      </c>
      <c r="E15" s="30" t="s">
        <v>192</v>
      </c>
      <c r="F15" s="30" t="s">
        <v>193</v>
      </c>
      <c r="G15" s="30" t="s">
        <v>194</v>
      </c>
      <c r="H15" s="30" t="s">
        <v>195</v>
      </c>
      <c r="I15" s="32" t="s">
        <v>196</v>
      </c>
      <c r="J15" s="33" t="s">
        <v>161</v>
      </c>
      <c r="K15" s="34" t="s">
        <v>197</v>
      </c>
      <c r="L15" s="30" t="s">
        <v>182</v>
      </c>
      <c r="M15" s="30" t="s">
        <v>54</v>
      </c>
    </row>
    <row r="16" spans="1:13" ht="49.5" hidden="1" customHeight="1" x14ac:dyDescent="0.3">
      <c r="A16" s="36" t="s">
        <v>49</v>
      </c>
      <c r="B16" s="30" t="s">
        <v>198</v>
      </c>
      <c r="C16" s="35" t="s">
        <v>136</v>
      </c>
      <c r="D16" s="30" t="s">
        <v>199</v>
      </c>
      <c r="E16" s="30" t="s">
        <v>200</v>
      </c>
      <c r="F16" s="30" t="s">
        <v>201</v>
      </c>
      <c r="G16" s="30" t="s">
        <v>202</v>
      </c>
      <c r="H16" s="30" t="s">
        <v>141</v>
      </c>
      <c r="I16" s="32" t="s">
        <v>203</v>
      </c>
      <c r="J16" s="33" t="s">
        <v>204</v>
      </c>
      <c r="K16" s="34" t="s">
        <v>205</v>
      </c>
      <c r="L16" s="30" t="s">
        <v>188</v>
      </c>
      <c r="M16" s="30" t="s">
        <v>54</v>
      </c>
    </row>
    <row r="17" spans="1:13" ht="49.5" hidden="1" customHeight="1" x14ac:dyDescent="0.3">
      <c r="A17" s="36" t="s">
        <v>49</v>
      </c>
      <c r="B17" s="30" t="s">
        <v>206</v>
      </c>
      <c r="C17" s="35" t="s">
        <v>136</v>
      </c>
      <c r="D17" s="30" t="s">
        <v>207</v>
      </c>
      <c r="E17" s="30" t="s">
        <v>208</v>
      </c>
      <c r="F17" s="30" t="s">
        <v>209</v>
      </c>
      <c r="G17" s="30" t="s">
        <v>210</v>
      </c>
      <c r="H17" s="30" t="s">
        <v>125</v>
      </c>
      <c r="I17" s="32" t="s">
        <v>211</v>
      </c>
      <c r="J17" s="33" t="s">
        <v>142</v>
      </c>
      <c r="K17" s="34" t="s">
        <v>212</v>
      </c>
      <c r="L17" s="30" t="s">
        <v>176</v>
      </c>
      <c r="M17" s="30" t="s">
        <v>119</v>
      </c>
    </row>
    <row r="18" spans="1:13" ht="49.5" hidden="1" customHeight="1" x14ac:dyDescent="0.3">
      <c r="A18" s="37" t="s">
        <v>56</v>
      </c>
      <c r="B18" s="38" t="s">
        <v>213</v>
      </c>
      <c r="C18" s="31" t="s">
        <v>98</v>
      </c>
      <c r="D18" s="38" t="s">
        <v>214</v>
      </c>
      <c r="E18" s="38" t="s">
        <v>215</v>
      </c>
      <c r="F18" s="38" t="s">
        <v>216</v>
      </c>
      <c r="G18" s="38" t="s">
        <v>217</v>
      </c>
      <c r="H18" s="38" t="s">
        <v>103</v>
      </c>
      <c r="I18" s="32" t="s">
        <v>132</v>
      </c>
      <c r="J18" s="33" t="s">
        <v>133</v>
      </c>
      <c r="K18" s="34" t="s">
        <v>106</v>
      </c>
      <c r="L18" s="38" t="s">
        <v>218</v>
      </c>
      <c r="M18" s="38" t="s">
        <v>219</v>
      </c>
    </row>
    <row r="19" spans="1:13" ht="49.5" hidden="1" customHeight="1" x14ac:dyDescent="0.3">
      <c r="A19" s="37" t="s">
        <v>56</v>
      </c>
      <c r="B19" s="38" t="s">
        <v>220</v>
      </c>
      <c r="C19" s="31" t="s">
        <v>98</v>
      </c>
      <c r="D19" s="38" t="s">
        <v>221</v>
      </c>
      <c r="E19" s="38" t="s">
        <v>222</v>
      </c>
      <c r="F19" s="38" t="s">
        <v>223</v>
      </c>
      <c r="G19" s="38" t="s">
        <v>224</v>
      </c>
      <c r="H19" s="38" t="s">
        <v>125</v>
      </c>
      <c r="I19" s="32" t="s">
        <v>132</v>
      </c>
      <c r="J19" s="33" t="s">
        <v>133</v>
      </c>
      <c r="K19" s="34" t="s">
        <v>106</v>
      </c>
      <c r="L19" s="38" t="s">
        <v>225</v>
      </c>
      <c r="M19" s="38" t="s">
        <v>226</v>
      </c>
    </row>
    <row r="20" spans="1:13" ht="49.5" hidden="1" customHeight="1" x14ac:dyDescent="0.3">
      <c r="A20" s="37" t="s">
        <v>56</v>
      </c>
      <c r="B20" s="38" t="s">
        <v>227</v>
      </c>
      <c r="C20" s="31" t="s">
        <v>98</v>
      </c>
      <c r="D20" s="38" t="s">
        <v>228</v>
      </c>
      <c r="E20" s="38" t="s">
        <v>229</v>
      </c>
      <c r="F20" s="38" t="s">
        <v>230</v>
      </c>
      <c r="G20" s="38" t="s">
        <v>231</v>
      </c>
      <c r="H20" s="38" t="s">
        <v>141</v>
      </c>
      <c r="I20" s="32" t="s">
        <v>232</v>
      </c>
      <c r="J20" s="33" t="s">
        <v>233</v>
      </c>
      <c r="K20" s="34" t="s">
        <v>234</v>
      </c>
      <c r="L20" s="38" t="s">
        <v>225</v>
      </c>
      <c r="M20" s="38" t="s">
        <v>235</v>
      </c>
    </row>
    <row r="21" spans="1:13" ht="49.5" hidden="1" customHeight="1" x14ac:dyDescent="0.3">
      <c r="A21" s="37" t="s">
        <v>56</v>
      </c>
      <c r="B21" s="38" t="s">
        <v>236</v>
      </c>
      <c r="C21" s="31" t="s">
        <v>98</v>
      </c>
      <c r="D21" s="38" t="s">
        <v>237</v>
      </c>
      <c r="E21" s="38" t="s">
        <v>238</v>
      </c>
      <c r="F21" s="38" t="s">
        <v>239</v>
      </c>
      <c r="G21" s="38" t="s">
        <v>240</v>
      </c>
      <c r="H21" s="38" t="s">
        <v>114</v>
      </c>
      <c r="I21" s="32" t="s">
        <v>144</v>
      </c>
      <c r="J21" s="33" t="s">
        <v>241</v>
      </c>
      <c r="K21" s="34" t="s">
        <v>242</v>
      </c>
      <c r="L21" s="38" t="s">
        <v>243</v>
      </c>
      <c r="M21" s="38" t="s">
        <v>81</v>
      </c>
    </row>
    <row r="22" spans="1:13" ht="49.5" hidden="1" customHeight="1" x14ac:dyDescent="0.3">
      <c r="A22" s="37" t="s">
        <v>56</v>
      </c>
      <c r="B22" s="38" t="s">
        <v>244</v>
      </c>
      <c r="C22" s="31" t="s">
        <v>98</v>
      </c>
      <c r="D22" s="38" t="s">
        <v>245</v>
      </c>
      <c r="E22" s="38" t="s">
        <v>246</v>
      </c>
      <c r="F22" s="38" t="s">
        <v>247</v>
      </c>
      <c r="G22" s="38" t="s">
        <v>248</v>
      </c>
      <c r="H22" s="38" t="s">
        <v>125</v>
      </c>
      <c r="I22" s="32" t="s">
        <v>132</v>
      </c>
      <c r="J22" s="33" t="s">
        <v>133</v>
      </c>
      <c r="K22" s="34" t="s">
        <v>106</v>
      </c>
      <c r="L22" s="38" t="s">
        <v>225</v>
      </c>
      <c r="M22" s="38" t="s">
        <v>226</v>
      </c>
    </row>
    <row r="23" spans="1:13" ht="49.5" hidden="1" customHeight="1" x14ac:dyDescent="0.3">
      <c r="A23" s="37" t="s">
        <v>56</v>
      </c>
      <c r="B23" s="38" t="s">
        <v>249</v>
      </c>
      <c r="C23" s="35" t="s">
        <v>136</v>
      </c>
      <c r="D23" s="38" t="s">
        <v>250</v>
      </c>
      <c r="E23" s="38" t="s">
        <v>251</v>
      </c>
      <c r="F23" s="38" t="s">
        <v>252</v>
      </c>
      <c r="G23" s="38" t="s">
        <v>253</v>
      </c>
      <c r="H23" s="38" t="s">
        <v>141</v>
      </c>
      <c r="I23" s="32" t="s">
        <v>203</v>
      </c>
      <c r="J23" s="33" t="s">
        <v>204</v>
      </c>
      <c r="K23" s="34" t="s">
        <v>205</v>
      </c>
      <c r="L23" s="38" t="s">
        <v>218</v>
      </c>
      <c r="M23" s="38" t="s">
        <v>219</v>
      </c>
    </row>
    <row r="24" spans="1:13" ht="49.5" hidden="1" customHeight="1" x14ac:dyDescent="0.3">
      <c r="A24" s="37" t="s">
        <v>56</v>
      </c>
      <c r="B24" s="38" t="s">
        <v>254</v>
      </c>
      <c r="C24" s="35" t="s">
        <v>136</v>
      </c>
      <c r="D24" s="38" t="s">
        <v>255</v>
      </c>
      <c r="E24" s="38" t="s">
        <v>256</v>
      </c>
      <c r="F24" s="38" t="s">
        <v>257</v>
      </c>
      <c r="G24" s="38" t="s">
        <v>224</v>
      </c>
      <c r="H24" s="38" t="s">
        <v>141</v>
      </c>
      <c r="I24" s="32" t="s">
        <v>161</v>
      </c>
      <c r="J24" s="33" t="s">
        <v>162</v>
      </c>
      <c r="K24" s="34" t="s">
        <v>163</v>
      </c>
      <c r="L24" s="38" t="s">
        <v>225</v>
      </c>
      <c r="M24" s="38" t="s">
        <v>226</v>
      </c>
    </row>
    <row r="25" spans="1:13" ht="49.5" hidden="1" customHeight="1" x14ac:dyDescent="0.3">
      <c r="A25" s="37" t="s">
        <v>56</v>
      </c>
      <c r="B25" s="38" t="s">
        <v>258</v>
      </c>
      <c r="C25" s="35" t="s">
        <v>136</v>
      </c>
      <c r="D25" s="38" t="s">
        <v>259</v>
      </c>
      <c r="E25" s="38" t="s">
        <v>260</v>
      </c>
      <c r="F25" s="38" t="s">
        <v>261</v>
      </c>
      <c r="G25" s="38" t="s">
        <v>262</v>
      </c>
      <c r="H25" s="38" t="s">
        <v>195</v>
      </c>
      <c r="I25" s="32" t="s">
        <v>263</v>
      </c>
      <c r="J25" s="33" t="s">
        <v>143</v>
      </c>
      <c r="K25" s="34" t="s">
        <v>144</v>
      </c>
      <c r="L25" s="38" t="s">
        <v>108</v>
      </c>
      <c r="M25" s="38" t="s">
        <v>81</v>
      </c>
    </row>
    <row r="26" spans="1:13" ht="49.5" hidden="1" customHeight="1" x14ac:dyDescent="0.3">
      <c r="A26" s="39" t="s">
        <v>63</v>
      </c>
      <c r="B26" s="40" t="s">
        <v>264</v>
      </c>
      <c r="C26" s="31" t="s">
        <v>98</v>
      </c>
      <c r="D26" s="40" t="s">
        <v>265</v>
      </c>
      <c r="E26" s="40" t="s">
        <v>266</v>
      </c>
      <c r="F26" s="40" t="s">
        <v>267</v>
      </c>
      <c r="G26" s="40" t="s">
        <v>268</v>
      </c>
      <c r="H26" s="40" t="s">
        <v>269</v>
      </c>
      <c r="I26" s="32" t="s">
        <v>232</v>
      </c>
      <c r="J26" s="33" t="s">
        <v>233</v>
      </c>
      <c r="K26" s="34" t="s">
        <v>234</v>
      </c>
      <c r="L26" s="40" t="s">
        <v>270</v>
      </c>
      <c r="M26" s="40" t="s">
        <v>54</v>
      </c>
    </row>
    <row r="27" spans="1:13" ht="49.5" hidden="1" customHeight="1" x14ac:dyDescent="0.3">
      <c r="A27" s="39" t="s">
        <v>63</v>
      </c>
      <c r="B27" s="40" t="s">
        <v>271</v>
      </c>
      <c r="C27" s="31" t="s">
        <v>98</v>
      </c>
      <c r="D27" s="40" t="s">
        <v>272</v>
      </c>
      <c r="E27" s="40" t="s">
        <v>273</v>
      </c>
      <c r="F27" s="40" t="s">
        <v>274</v>
      </c>
      <c r="G27" s="40" t="s">
        <v>275</v>
      </c>
      <c r="H27" s="40" t="s">
        <v>141</v>
      </c>
      <c r="I27" s="32" t="s">
        <v>276</v>
      </c>
      <c r="J27" s="33" t="s">
        <v>277</v>
      </c>
      <c r="K27" s="34" t="s">
        <v>278</v>
      </c>
      <c r="L27" s="40" t="s">
        <v>270</v>
      </c>
      <c r="M27" s="40" t="s">
        <v>54</v>
      </c>
    </row>
    <row r="28" spans="1:13" ht="49.5" hidden="1" customHeight="1" x14ac:dyDescent="0.3">
      <c r="A28" s="39" t="s">
        <v>63</v>
      </c>
      <c r="B28" s="40" t="s">
        <v>279</v>
      </c>
      <c r="C28" s="31" t="s">
        <v>98</v>
      </c>
      <c r="D28" s="40" t="s">
        <v>280</v>
      </c>
      <c r="E28" s="40" t="s">
        <v>281</v>
      </c>
      <c r="F28" s="40" t="s">
        <v>282</v>
      </c>
      <c r="G28" s="40" t="s">
        <v>283</v>
      </c>
      <c r="H28" s="40" t="s">
        <v>125</v>
      </c>
      <c r="I28" s="32" t="s">
        <v>144</v>
      </c>
      <c r="J28" s="33" t="s">
        <v>284</v>
      </c>
      <c r="K28" s="34" t="s">
        <v>285</v>
      </c>
      <c r="L28" s="40" t="s">
        <v>286</v>
      </c>
      <c r="M28" s="40" t="s">
        <v>54</v>
      </c>
    </row>
    <row r="29" spans="1:13" ht="49.5" hidden="1" customHeight="1" x14ac:dyDescent="0.3">
      <c r="A29" s="39" t="s">
        <v>63</v>
      </c>
      <c r="B29" s="40" t="s">
        <v>287</v>
      </c>
      <c r="C29" s="31" t="s">
        <v>98</v>
      </c>
      <c r="D29" s="40" t="s">
        <v>288</v>
      </c>
      <c r="E29" s="40" t="s">
        <v>289</v>
      </c>
      <c r="F29" s="40" t="s">
        <v>290</v>
      </c>
      <c r="G29" s="40" t="s">
        <v>291</v>
      </c>
      <c r="H29" s="40" t="s">
        <v>141</v>
      </c>
      <c r="I29" s="32" t="s">
        <v>232</v>
      </c>
      <c r="J29" s="33" t="s">
        <v>233</v>
      </c>
      <c r="K29" s="34" t="s">
        <v>234</v>
      </c>
      <c r="L29" s="40" t="s">
        <v>270</v>
      </c>
      <c r="M29" s="40" t="s">
        <v>54</v>
      </c>
    </row>
    <row r="30" spans="1:13" ht="49.5" hidden="1" customHeight="1" x14ac:dyDescent="0.3">
      <c r="A30" s="39" t="s">
        <v>63</v>
      </c>
      <c r="B30" s="40" t="s">
        <v>292</v>
      </c>
      <c r="C30" s="35" t="s">
        <v>136</v>
      </c>
      <c r="D30" s="40" t="s">
        <v>293</v>
      </c>
      <c r="E30" s="40" t="s">
        <v>294</v>
      </c>
      <c r="F30" s="40" t="s">
        <v>295</v>
      </c>
      <c r="G30" s="40" t="s">
        <v>268</v>
      </c>
      <c r="H30" s="40" t="s">
        <v>195</v>
      </c>
      <c r="I30" s="32" t="s">
        <v>211</v>
      </c>
      <c r="J30" s="33" t="s">
        <v>142</v>
      </c>
      <c r="K30" s="34" t="s">
        <v>144</v>
      </c>
      <c r="L30" s="40" t="s">
        <v>270</v>
      </c>
      <c r="M30" s="40" t="s">
        <v>54</v>
      </c>
    </row>
    <row r="31" spans="1:13" ht="49.5" hidden="1" customHeight="1" x14ac:dyDescent="0.3">
      <c r="A31" s="39" t="s">
        <v>63</v>
      </c>
      <c r="B31" s="40" t="s">
        <v>296</v>
      </c>
      <c r="C31" s="35" t="s">
        <v>136</v>
      </c>
      <c r="D31" s="40" t="s">
        <v>297</v>
      </c>
      <c r="E31" s="40" t="s">
        <v>298</v>
      </c>
      <c r="F31" s="40" t="s">
        <v>299</v>
      </c>
      <c r="G31" s="40" t="s">
        <v>300</v>
      </c>
      <c r="H31" s="40" t="s">
        <v>141</v>
      </c>
      <c r="I31" s="32" t="s">
        <v>301</v>
      </c>
      <c r="J31" s="33" t="s">
        <v>302</v>
      </c>
      <c r="K31" s="34" t="s">
        <v>303</v>
      </c>
      <c r="L31" s="40" t="s">
        <v>270</v>
      </c>
      <c r="M31" s="40" t="s">
        <v>54</v>
      </c>
    </row>
    <row r="32" spans="1:13" ht="49.5" hidden="1" customHeight="1" x14ac:dyDescent="0.3">
      <c r="A32" s="39" t="s">
        <v>63</v>
      </c>
      <c r="B32" s="40" t="s">
        <v>304</v>
      </c>
      <c r="C32" s="35" t="s">
        <v>136</v>
      </c>
      <c r="D32" s="40" t="s">
        <v>305</v>
      </c>
      <c r="E32" s="40" t="s">
        <v>306</v>
      </c>
      <c r="F32" s="40" t="s">
        <v>307</v>
      </c>
      <c r="G32" s="40" t="s">
        <v>308</v>
      </c>
      <c r="H32" s="40" t="s">
        <v>141</v>
      </c>
      <c r="I32" s="32" t="s">
        <v>309</v>
      </c>
      <c r="J32" s="33" t="s">
        <v>310</v>
      </c>
      <c r="K32" s="34" t="s">
        <v>311</v>
      </c>
      <c r="L32" s="40" t="s">
        <v>286</v>
      </c>
      <c r="M32" s="40" t="s">
        <v>54</v>
      </c>
    </row>
    <row r="33" spans="1:13" ht="49.5" customHeight="1" x14ac:dyDescent="0.3">
      <c r="A33" s="41" t="s">
        <v>69</v>
      </c>
      <c r="B33" s="42" t="s">
        <v>312</v>
      </c>
      <c r="C33" s="31" t="s">
        <v>98</v>
      </c>
      <c r="D33" s="42" t="s">
        <v>313</v>
      </c>
      <c r="E33" s="42" t="s">
        <v>314</v>
      </c>
      <c r="F33" s="42" t="s">
        <v>315</v>
      </c>
      <c r="G33" s="42" t="s">
        <v>316</v>
      </c>
      <c r="H33" s="42" t="s">
        <v>103</v>
      </c>
      <c r="I33" s="32" t="s">
        <v>132</v>
      </c>
      <c r="J33" s="33" t="s">
        <v>133</v>
      </c>
      <c r="K33" s="34" t="s">
        <v>106</v>
      </c>
      <c r="L33" s="42" t="s">
        <v>317</v>
      </c>
      <c r="M33" s="42" t="s">
        <v>74</v>
      </c>
    </row>
    <row r="34" spans="1:13" ht="49.5" customHeight="1" x14ac:dyDescent="0.3">
      <c r="A34" s="41" t="s">
        <v>69</v>
      </c>
      <c r="B34" s="42" t="s">
        <v>318</v>
      </c>
      <c r="C34" s="31" t="s">
        <v>98</v>
      </c>
      <c r="D34" s="42" t="s">
        <v>319</v>
      </c>
      <c r="E34" s="42" t="s">
        <v>320</v>
      </c>
      <c r="F34" s="42" t="s">
        <v>321</v>
      </c>
      <c r="G34" s="42" t="s">
        <v>322</v>
      </c>
      <c r="H34" s="42" t="s">
        <v>141</v>
      </c>
      <c r="I34" s="32" t="s">
        <v>132</v>
      </c>
      <c r="J34" s="33" t="s">
        <v>323</v>
      </c>
      <c r="K34" s="34" t="s">
        <v>234</v>
      </c>
      <c r="L34" s="42" t="s">
        <v>324</v>
      </c>
      <c r="M34" s="42" t="s">
        <v>74</v>
      </c>
    </row>
    <row r="35" spans="1:13" ht="49.5" customHeight="1" x14ac:dyDescent="0.3">
      <c r="A35" s="41" t="s">
        <v>69</v>
      </c>
      <c r="B35" s="42" t="s">
        <v>325</v>
      </c>
      <c r="C35" s="31" t="s">
        <v>98</v>
      </c>
      <c r="D35" s="42" t="s">
        <v>326</v>
      </c>
      <c r="E35" s="42" t="s">
        <v>327</v>
      </c>
      <c r="F35" s="42" t="s">
        <v>328</v>
      </c>
      <c r="G35" s="42" t="s">
        <v>275</v>
      </c>
      <c r="H35" s="42" t="s">
        <v>141</v>
      </c>
      <c r="I35" s="32" t="s">
        <v>329</v>
      </c>
      <c r="J35" s="33" t="s">
        <v>330</v>
      </c>
      <c r="K35" s="34" t="s">
        <v>331</v>
      </c>
      <c r="L35" s="42" t="s">
        <v>332</v>
      </c>
      <c r="M35" s="42" t="s">
        <v>74</v>
      </c>
    </row>
    <row r="36" spans="1:13" ht="49.5" customHeight="1" x14ac:dyDescent="0.3">
      <c r="A36" s="41" t="s">
        <v>69</v>
      </c>
      <c r="B36" s="42" t="s">
        <v>333</v>
      </c>
      <c r="C36" s="31" t="s">
        <v>98</v>
      </c>
      <c r="D36" s="42" t="s">
        <v>334</v>
      </c>
      <c r="E36" s="42" t="s">
        <v>335</v>
      </c>
      <c r="F36" s="42" t="s">
        <v>336</v>
      </c>
      <c r="G36" s="42" t="s">
        <v>337</v>
      </c>
      <c r="H36" s="42" t="s">
        <v>114</v>
      </c>
      <c r="I36" s="32" t="s">
        <v>144</v>
      </c>
      <c r="J36" s="33" t="s">
        <v>241</v>
      </c>
      <c r="K36" s="34" t="s">
        <v>242</v>
      </c>
      <c r="L36" s="42" t="s">
        <v>338</v>
      </c>
      <c r="M36" s="42" t="s">
        <v>81</v>
      </c>
    </row>
    <row r="37" spans="1:13" ht="49.5" customHeight="1" x14ac:dyDescent="0.3">
      <c r="A37" s="41" t="s">
        <v>69</v>
      </c>
      <c r="B37" s="42" t="s">
        <v>339</v>
      </c>
      <c r="C37" s="35" t="s">
        <v>136</v>
      </c>
      <c r="D37" s="42" t="s">
        <v>340</v>
      </c>
      <c r="E37" s="42" t="s">
        <v>341</v>
      </c>
      <c r="F37" s="42" t="s">
        <v>342</v>
      </c>
      <c r="G37" s="42" t="s">
        <v>308</v>
      </c>
      <c r="H37" s="42" t="s">
        <v>141</v>
      </c>
      <c r="I37" s="32" t="s">
        <v>211</v>
      </c>
      <c r="J37" s="33" t="s">
        <v>142</v>
      </c>
      <c r="K37" s="34" t="s">
        <v>212</v>
      </c>
      <c r="L37" s="42" t="s">
        <v>332</v>
      </c>
      <c r="M37" s="42" t="s">
        <v>74</v>
      </c>
    </row>
    <row r="38" spans="1:13" ht="49.5" customHeight="1" x14ac:dyDescent="0.3">
      <c r="A38" s="41" t="s">
        <v>69</v>
      </c>
      <c r="B38" s="42" t="s">
        <v>343</v>
      </c>
      <c r="C38" s="35" t="s">
        <v>136</v>
      </c>
      <c r="D38" s="42" t="s">
        <v>344</v>
      </c>
      <c r="E38" s="42" t="s">
        <v>345</v>
      </c>
      <c r="F38" s="42" t="s">
        <v>346</v>
      </c>
      <c r="G38" s="42" t="s">
        <v>347</v>
      </c>
      <c r="H38" s="42" t="s">
        <v>125</v>
      </c>
      <c r="I38" s="32" t="s">
        <v>348</v>
      </c>
      <c r="J38" s="33" t="s">
        <v>349</v>
      </c>
      <c r="K38" s="34" t="s">
        <v>205</v>
      </c>
      <c r="L38" s="42" t="s">
        <v>338</v>
      </c>
      <c r="M38" s="42" t="s">
        <v>74</v>
      </c>
    </row>
    <row r="39" spans="1:13" ht="49.5" customHeight="1" x14ac:dyDescent="0.3">
      <c r="A39" s="41" t="s">
        <v>69</v>
      </c>
      <c r="B39" s="42" t="s">
        <v>350</v>
      </c>
      <c r="C39" s="35" t="s">
        <v>136</v>
      </c>
      <c r="D39" s="42" t="s">
        <v>351</v>
      </c>
      <c r="E39" s="42" t="s">
        <v>352</v>
      </c>
      <c r="F39" s="42" t="s">
        <v>353</v>
      </c>
      <c r="G39" s="42" t="s">
        <v>354</v>
      </c>
      <c r="H39" s="42" t="s">
        <v>141</v>
      </c>
      <c r="I39" s="32" t="s">
        <v>143</v>
      </c>
      <c r="J39" s="33" t="s">
        <v>355</v>
      </c>
      <c r="K39" s="34" t="s">
        <v>144</v>
      </c>
      <c r="L39" s="42" t="s">
        <v>324</v>
      </c>
      <c r="M39" s="42" t="s">
        <v>74</v>
      </c>
    </row>
    <row r="40" spans="1:13" ht="49.5" customHeight="1" x14ac:dyDescent="0.3">
      <c r="A40" s="43" t="s">
        <v>76</v>
      </c>
      <c r="B40" s="38" t="s">
        <v>356</v>
      </c>
      <c r="C40" s="31" t="s">
        <v>98</v>
      </c>
      <c r="D40" s="38" t="s">
        <v>357</v>
      </c>
      <c r="E40" s="38" t="s">
        <v>358</v>
      </c>
      <c r="F40" s="38" t="s">
        <v>359</v>
      </c>
      <c r="G40" s="38" t="s">
        <v>360</v>
      </c>
      <c r="H40" s="38" t="s">
        <v>141</v>
      </c>
      <c r="I40" s="32" t="s">
        <v>132</v>
      </c>
      <c r="J40" s="33" t="s">
        <v>133</v>
      </c>
      <c r="K40" s="34" t="s">
        <v>106</v>
      </c>
      <c r="L40" s="38" t="s">
        <v>108</v>
      </c>
      <c r="M40" s="38" t="s">
        <v>81</v>
      </c>
    </row>
    <row r="41" spans="1:13" ht="49.5" customHeight="1" x14ac:dyDescent="0.3">
      <c r="A41" s="43" t="s">
        <v>76</v>
      </c>
      <c r="B41" s="38" t="s">
        <v>361</v>
      </c>
      <c r="C41" s="31" t="s">
        <v>98</v>
      </c>
      <c r="D41" s="38" t="s">
        <v>362</v>
      </c>
      <c r="E41" s="38" t="s">
        <v>363</v>
      </c>
      <c r="F41" s="38" t="s">
        <v>364</v>
      </c>
      <c r="G41" s="38" t="s">
        <v>262</v>
      </c>
      <c r="H41" s="38" t="s">
        <v>141</v>
      </c>
      <c r="I41" s="32" t="s">
        <v>365</v>
      </c>
      <c r="J41" s="33" t="s">
        <v>366</v>
      </c>
      <c r="K41" s="34" t="s">
        <v>367</v>
      </c>
      <c r="L41" s="38" t="s">
        <v>108</v>
      </c>
      <c r="M41" s="38" t="s">
        <v>81</v>
      </c>
    </row>
    <row r="42" spans="1:13" ht="49.5" customHeight="1" x14ac:dyDescent="0.3">
      <c r="A42" s="43" t="s">
        <v>76</v>
      </c>
      <c r="B42" s="38" t="s">
        <v>368</v>
      </c>
      <c r="C42" s="31" t="s">
        <v>98</v>
      </c>
      <c r="D42" s="38" t="s">
        <v>369</v>
      </c>
      <c r="E42" s="38" t="s">
        <v>370</v>
      </c>
      <c r="F42" s="38" t="s">
        <v>371</v>
      </c>
      <c r="G42" s="38" t="s">
        <v>372</v>
      </c>
      <c r="H42" s="38" t="s">
        <v>103</v>
      </c>
      <c r="I42" s="32" t="s">
        <v>132</v>
      </c>
      <c r="J42" s="33" t="s">
        <v>133</v>
      </c>
      <c r="K42" s="34" t="s">
        <v>106</v>
      </c>
      <c r="L42" s="38" t="s">
        <v>373</v>
      </c>
      <c r="M42" s="38" t="s">
        <v>81</v>
      </c>
    </row>
    <row r="43" spans="1:13" ht="49.5" customHeight="1" x14ac:dyDescent="0.3">
      <c r="A43" s="43" t="s">
        <v>76</v>
      </c>
      <c r="B43" s="38" t="s">
        <v>374</v>
      </c>
      <c r="C43" s="31" t="s">
        <v>98</v>
      </c>
      <c r="D43" s="38" t="s">
        <v>375</v>
      </c>
      <c r="E43" s="38" t="s">
        <v>376</v>
      </c>
      <c r="F43" s="38" t="s">
        <v>377</v>
      </c>
      <c r="G43" s="38" t="s">
        <v>378</v>
      </c>
      <c r="H43" s="38" t="s">
        <v>125</v>
      </c>
      <c r="I43" s="32" t="s">
        <v>104</v>
      </c>
      <c r="J43" s="33" t="s">
        <v>105</v>
      </c>
      <c r="K43" s="34" t="s">
        <v>106</v>
      </c>
      <c r="L43" s="38" t="s">
        <v>379</v>
      </c>
      <c r="M43" s="38" t="s">
        <v>81</v>
      </c>
    </row>
    <row r="44" spans="1:13" ht="49.5" customHeight="1" x14ac:dyDescent="0.3">
      <c r="A44" s="43" t="s">
        <v>76</v>
      </c>
      <c r="B44" s="38" t="s">
        <v>380</v>
      </c>
      <c r="C44" s="35" t="s">
        <v>136</v>
      </c>
      <c r="D44" s="38" t="s">
        <v>381</v>
      </c>
      <c r="E44" s="38" t="s">
        <v>382</v>
      </c>
      <c r="F44" s="38" t="s">
        <v>383</v>
      </c>
      <c r="G44" s="38" t="s">
        <v>360</v>
      </c>
      <c r="H44" s="38" t="s">
        <v>141</v>
      </c>
      <c r="I44" s="32" t="s">
        <v>384</v>
      </c>
      <c r="J44" s="33" t="s">
        <v>385</v>
      </c>
      <c r="K44" s="34" t="s">
        <v>331</v>
      </c>
      <c r="L44" s="38" t="s">
        <v>108</v>
      </c>
      <c r="M44" s="38" t="s">
        <v>81</v>
      </c>
    </row>
    <row r="45" spans="1:13" ht="49.5" customHeight="1" x14ac:dyDescent="0.3">
      <c r="A45" s="43" t="s">
        <v>76</v>
      </c>
      <c r="B45" s="38" t="s">
        <v>386</v>
      </c>
      <c r="C45" s="35" t="s">
        <v>136</v>
      </c>
      <c r="D45" s="38" t="s">
        <v>387</v>
      </c>
      <c r="E45" s="38" t="s">
        <v>388</v>
      </c>
      <c r="F45" s="38" t="s">
        <v>389</v>
      </c>
      <c r="G45" s="38" t="s">
        <v>390</v>
      </c>
      <c r="H45" s="38" t="s">
        <v>141</v>
      </c>
      <c r="I45" s="32" t="s">
        <v>132</v>
      </c>
      <c r="J45" s="33" t="s">
        <v>133</v>
      </c>
      <c r="K45" s="34" t="s">
        <v>106</v>
      </c>
      <c r="L45" s="38" t="s">
        <v>108</v>
      </c>
      <c r="M45" s="38" t="s">
        <v>81</v>
      </c>
    </row>
    <row r="46" spans="1:13" ht="49.5" customHeight="1" x14ac:dyDescent="0.3">
      <c r="A46" s="43" t="s">
        <v>76</v>
      </c>
      <c r="B46" s="38" t="s">
        <v>391</v>
      </c>
      <c r="C46" s="35" t="s">
        <v>136</v>
      </c>
      <c r="D46" s="38" t="s">
        <v>392</v>
      </c>
      <c r="E46" s="38" t="s">
        <v>393</v>
      </c>
      <c r="F46" s="38" t="s">
        <v>394</v>
      </c>
      <c r="G46" s="38" t="s">
        <v>395</v>
      </c>
      <c r="H46" s="38" t="s">
        <v>125</v>
      </c>
      <c r="I46" s="32" t="s">
        <v>263</v>
      </c>
      <c r="J46" s="33" t="s">
        <v>396</v>
      </c>
      <c r="K46" s="34" t="s">
        <v>144</v>
      </c>
      <c r="L46" s="38" t="s">
        <v>373</v>
      </c>
      <c r="M46" s="38" t="s">
        <v>81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zoomScaleNormal="100" workbookViewId="0">
      <pane xSplit="2" ySplit="3" topLeftCell="C36" activePane="bottomRight" state="frozen"/>
      <selection pane="topRight" activeCell="C1" sqref="C1"/>
      <selection pane="bottomLeft" activeCell="A4" sqref="A4"/>
      <selection pane="bottomRight" activeCell="G46" sqref="G46"/>
    </sheetView>
  </sheetViews>
  <sheetFormatPr baseColWidth="10" defaultColWidth="8.6640625" defaultRowHeight="14.4" x14ac:dyDescent="0.3"/>
  <cols>
    <col min="1" max="1" width="6" customWidth="1"/>
    <col min="2" max="2" width="13" customWidth="1"/>
    <col min="3" max="3" width="40" customWidth="1"/>
    <col min="4" max="4" width="6" customWidth="1"/>
    <col min="5" max="5" width="12" customWidth="1"/>
    <col min="6" max="6" width="18.6640625" customWidth="1"/>
    <col min="7" max="9" width="14" customWidth="1"/>
    <col min="10" max="10" width="26" customWidth="1"/>
    <col min="11" max="11" width="10" customWidth="1"/>
    <col min="12" max="12" width="42" customWidth="1"/>
  </cols>
  <sheetData>
    <row r="1" spans="1:12" ht="25.5" customHeight="1" x14ac:dyDescent="0.3">
      <c r="A1" s="94" t="s">
        <v>397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</row>
    <row r="2" spans="1:12" ht="15" customHeight="1" x14ac:dyDescent="0.3">
      <c r="A2" s="95" t="s">
        <v>398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</row>
    <row r="3" spans="1:12" ht="27.75" customHeight="1" x14ac:dyDescent="0.3">
      <c r="A3" s="8" t="s">
        <v>85</v>
      </c>
      <c r="B3" s="8" t="s">
        <v>399</v>
      </c>
      <c r="C3" s="8" t="s">
        <v>34</v>
      </c>
      <c r="D3" s="8" t="s">
        <v>86</v>
      </c>
      <c r="E3" s="8" t="s">
        <v>400</v>
      </c>
      <c r="F3" s="8" t="s">
        <v>401</v>
      </c>
      <c r="G3" s="8" t="s">
        <v>402</v>
      </c>
      <c r="H3" s="8" t="s">
        <v>403</v>
      </c>
      <c r="I3" s="8" t="s">
        <v>404</v>
      </c>
      <c r="J3" s="8" t="s">
        <v>405</v>
      </c>
      <c r="K3" s="8" t="s">
        <v>406</v>
      </c>
      <c r="L3" s="8" t="s">
        <v>407</v>
      </c>
    </row>
    <row r="4" spans="1:12" ht="27.75" customHeight="1" x14ac:dyDescent="0.3">
      <c r="A4" s="29" t="s">
        <v>42</v>
      </c>
      <c r="B4" s="44" t="s">
        <v>97</v>
      </c>
      <c r="C4" s="45" t="s">
        <v>99</v>
      </c>
      <c r="D4" s="31" t="s">
        <v>98</v>
      </c>
      <c r="E4" s="46">
        <v>50</v>
      </c>
      <c r="F4" s="47" t="str">
        <f t="shared" ref="F4:F47" si="0">IF(E4&gt;=80,"🟢 ÓPTIMO",IF(E4&gt;=50,"🟡 PRECAUCIÓN","🔴 ALERTA"))</f>
        <v>🟡 PRECAUCIÓN</v>
      </c>
      <c r="G4" s="44" t="s">
        <v>104</v>
      </c>
      <c r="H4" s="44" t="s">
        <v>105</v>
      </c>
      <c r="I4" s="44" t="s">
        <v>106</v>
      </c>
      <c r="J4" s="44" t="str">
        <f t="shared" ref="J4:J46" si="1">IF(F4="🟢 ÓPTIMO","✅ En cumplimiento",IF(F4="🟡 PRECAUCIÓN","⚠️ Requiere atención","🚨 Acción urgente requerida"))</f>
        <v>⚠️ Requiere atención</v>
      </c>
      <c r="K4" s="48" t="s">
        <v>408</v>
      </c>
      <c r="L4" s="44" t="s">
        <v>409</v>
      </c>
    </row>
    <row r="5" spans="1:12" ht="27.75" customHeight="1" x14ac:dyDescent="0.3">
      <c r="A5" s="29" t="s">
        <v>42</v>
      </c>
      <c r="B5" s="44" t="s">
        <v>109</v>
      </c>
      <c r="C5" s="45" t="s">
        <v>110</v>
      </c>
      <c r="D5" s="31" t="s">
        <v>98</v>
      </c>
      <c r="E5" s="46">
        <v>8</v>
      </c>
      <c r="F5" s="47" t="str">
        <f t="shared" si="0"/>
        <v>🔴 ALERTA</v>
      </c>
      <c r="G5" s="44" t="s">
        <v>115</v>
      </c>
      <c r="H5" s="44" t="s">
        <v>116</v>
      </c>
      <c r="I5" s="44" t="s">
        <v>117</v>
      </c>
      <c r="J5" s="44" t="str">
        <f t="shared" si="1"/>
        <v>🚨 Acción urgente requerida</v>
      </c>
      <c r="K5" s="48" t="s">
        <v>408</v>
      </c>
      <c r="L5" s="44" t="s">
        <v>410</v>
      </c>
    </row>
    <row r="6" spans="1:12" ht="27.75" customHeight="1" x14ac:dyDescent="0.3">
      <c r="A6" s="29" t="s">
        <v>42</v>
      </c>
      <c r="B6" s="44" t="s">
        <v>120</v>
      </c>
      <c r="C6" s="45" t="s">
        <v>121</v>
      </c>
      <c r="D6" s="31" t="s">
        <v>98</v>
      </c>
      <c r="E6" s="46">
        <v>75</v>
      </c>
      <c r="F6" s="47" t="str">
        <f t="shared" si="0"/>
        <v>🟡 PRECAUCIÓN</v>
      </c>
      <c r="G6" s="44" t="s">
        <v>104</v>
      </c>
      <c r="H6" s="44" t="s">
        <v>105</v>
      </c>
      <c r="I6" s="44" t="s">
        <v>106</v>
      </c>
      <c r="J6" s="44" t="str">
        <f t="shared" si="1"/>
        <v>⚠️ Requiere atención</v>
      </c>
      <c r="K6" s="33" t="s">
        <v>411</v>
      </c>
      <c r="L6" s="44" t="s">
        <v>412</v>
      </c>
    </row>
    <row r="7" spans="1:12" ht="27.75" customHeight="1" x14ac:dyDescent="0.3">
      <c r="A7" s="29" t="s">
        <v>42</v>
      </c>
      <c r="B7" s="44" t="s">
        <v>127</v>
      </c>
      <c r="C7" s="45" t="s">
        <v>128</v>
      </c>
      <c r="D7" s="31" t="s">
        <v>98</v>
      </c>
      <c r="E7" s="46">
        <v>85</v>
      </c>
      <c r="F7" s="47" t="str">
        <f t="shared" si="0"/>
        <v>🟢 ÓPTIMO</v>
      </c>
      <c r="G7" s="44" t="s">
        <v>132</v>
      </c>
      <c r="H7" s="44" t="s">
        <v>133</v>
      </c>
      <c r="I7" s="44" t="s">
        <v>106</v>
      </c>
      <c r="J7" s="44" t="str">
        <f t="shared" si="1"/>
        <v>✅ En cumplimiento</v>
      </c>
      <c r="K7" s="34" t="s">
        <v>413</v>
      </c>
      <c r="L7" s="44" t="s">
        <v>414</v>
      </c>
    </row>
    <row r="8" spans="1:12" ht="27.75" customHeight="1" x14ac:dyDescent="0.3">
      <c r="A8" s="29" t="s">
        <v>42</v>
      </c>
      <c r="B8" s="44" t="s">
        <v>135</v>
      </c>
      <c r="C8" s="45" t="s">
        <v>415</v>
      </c>
      <c r="D8" s="35" t="s">
        <v>136</v>
      </c>
      <c r="E8" s="46">
        <v>0</v>
      </c>
      <c r="F8" s="47" t="str">
        <f t="shared" si="0"/>
        <v>🔴 ALERTA</v>
      </c>
      <c r="G8" s="44" t="s">
        <v>104</v>
      </c>
      <c r="H8" s="44" t="s">
        <v>105</v>
      </c>
      <c r="I8" s="44" t="s">
        <v>106</v>
      </c>
      <c r="J8" s="44" t="str">
        <f t="shared" si="1"/>
        <v>🚨 Acción urgente requerida</v>
      </c>
      <c r="K8" s="34" t="s">
        <v>413</v>
      </c>
      <c r="L8" s="44" t="s">
        <v>416</v>
      </c>
    </row>
    <row r="9" spans="1:12" ht="27.75" customHeight="1" x14ac:dyDescent="0.3">
      <c r="A9" s="29" t="s">
        <v>42</v>
      </c>
      <c r="B9" s="44" t="s">
        <v>147</v>
      </c>
      <c r="C9" s="45" t="s">
        <v>148</v>
      </c>
      <c r="D9" s="35" t="s">
        <v>136</v>
      </c>
      <c r="E9" s="46">
        <v>55</v>
      </c>
      <c r="F9" s="47" t="str">
        <f t="shared" si="0"/>
        <v>🟡 PRECAUCIÓN</v>
      </c>
      <c r="G9" s="44" t="s">
        <v>152</v>
      </c>
      <c r="H9" s="44" t="s">
        <v>153</v>
      </c>
      <c r="I9" s="44" t="s">
        <v>154</v>
      </c>
      <c r="J9" s="44" t="str">
        <f t="shared" si="1"/>
        <v>⚠️ Requiere atención</v>
      </c>
      <c r="K9" s="33" t="s">
        <v>411</v>
      </c>
      <c r="L9" s="44" t="s">
        <v>417</v>
      </c>
    </row>
    <row r="10" spans="1:12" ht="27.75" customHeight="1" x14ac:dyDescent="0.3">
      <c r="A10" s="29" t="s">
        <v>42</v>
      </c>
      <c r="B10" s="44" t="s">
        <v>156</v>
      </c>
      <c r="C10" s="45" t="s">
        <v>418</v>
      </c>
      <c r="D10" s="35" t="s">
        <v>136</v>
      </c>
      <c r="E10" s="46">
        <v>90</v>
      </c>
      <c r="F10" s="47" t="str">
        <f t="shared" si="0"/>
        <v>🟢 ÓPTIMO</v>
      </c>
      <c r="G10" s="44" t="s">
        <v>104</v>
      </c>
      <c r="H10" s="44" t="s">
        <v>105</v>
      </c>
      <c r="I10" s="44" t="s">
        <v>106</v>
      </c>
      <c r="J10" s="44" t="str">
        <f t="shared" si="1"/>
        <v>✅ En cumplimiento</v>
      </c>
      <c r="K10" s="33" t="s">
        <v>411</v>
      </c>
      <c r="L10" s="44" t="s">
        <v>419</v>
      </c>
    </row>
    <row r="11" spans="1:12" ht="27.75" customHeight="1" x14ac:dyDescent="0.3">
      <c r="A11" s="36" t="s">
        <v>49</v>
      </c>
      <c r="B11" s="44" t="s">
        <v>165</v>
      </c>
      <c r="C11" s="45" t="s">
        <v>166</v>
      </c>
      <c r="D11" s="31" t="s">
        <v>98</v>
      </c>
      <c r="E11" s="46">
        <v>65</v>
      </c>
      <c r="F11" s="47" t="str">
        <f t="shared" si="0"/>
        <v>🟡 PRECAUCIÓN</v>
      </c>
      <c r="G11" s="44" t="s">
        <v>132</v>
      </c>
      <c r="H11" s="44" t="s">
        <v>133</v>
      </c>
      <c r="I11" s="44" t="s">
        <v>106</v>
      </c>
      <c r="J11" s="44" t="str">
        <f t="shared" si="1"/>
        <v>⚠️ Requiere atención</v>
      </c>
      <c r="K11" s="48" t="s">
        <v>408</v>
      </c>
      <c r="L11" s="44" t="s">
        <v>420</v>
      </c>
    </row>
    <row r="12" spans="1:12" ht="27.75" customHeight="1" x14ac:dyDescent="0.3">
      <c r="A12" s="36" t="s">
        <v>49</v>
      </c>
      <c r="B12" s="44" t="s">
        <v>171</v>
      </c>
      <c r="C12" s="45" t="s">
        <v>172</v>
      </c>
      <c r="D12" s="31" t="s">
        <v>98</v>
      </c>
      <c r="E12" s="46">
        <v>60</v>
      </c>
      <c r="F12" s="47" t="str">
        <f t="shared" si="0"/>
        <v>🟡 PRECAUCIÓN</v>
      </c>
      <c r="G12" s="44" t="s">
        <v>104</v>
      </c>
      <c r="H12" s="44" t="s">
        <v>105</v>
      </c>
      <c r="I12" s="44" t="s">
        <v>106</v>
      </c>
      <c r="J12" s="44" t="str">
        <f t="shared" si="1"/>
        <v>⚠️ Requiere atención</v>
      </c>
      <c r="K12" s="48" t="s">
        <v>408</v>
      </c>
      <c r="L12" s="44" t="s">
        <v>421</v>
      </c>
    </row>
    <row r="13" spans="1:12" ht="27.75" customHeight="1" x14ac:dyDescent="0.3">
      <c r="A13" s="36" t="s">
        <v>49</v>
      </c>
      <c r="B13" s="44" t="s">
        <v>177</v>
      </c>
      <c r="C13" s="45" t="s">
        <v>178</v>
      </c>
      <c r="D13" s="31" t="s">
        <v>98</v>
      </c>
      <c r="E13" s="46">
        <v>55</v>
      </c>
      <c r="F13" s="47" t="str">
        <f t="shared" si="0"/>
        <v>🟡 PRECAUCIÓN</v>
      </c>
      <c r="G13" s="44" t="s">
        <v>104</v>
      </c>
      <c r="H13" s="44" t="s">
        <v>105</v>
      </c>
      <c r="I13" s="44" t="s">
        <v>106</v>
      </c>
      <c r="J13" s="44" t="str">
        <f t="shared" si="1"/>
        <v>⚠️ Requiere atención</v>
      </c>
      <c r="K13" s="48" t="s">
        <v>408</v>
      </c>
      <c r="L13" s="44" t="s">
        <v>422</v>
      </c>
    </row>
    <row r="14" spans="1:12" ht="27.75" customHeight="1" x14ac:dyDescent="0.3">
      <c r="A14" s="36" t="s">
        <v>49</v>
      </c>
      <c r="B14" s="44" t="s">
        <v>183</v>
      </c>
      <c r="C14" s="45" t="s">
        <v>423</v>
      </c>
      <c r="D14" s="31" t="s">
        <v>98</v>
      </c>
      <c r="E14" s="46">
        <v>40</v>
      </c>
      <c r="F14" s="47" t="str">
        <f t="shared" si="0"/>
        <v>🔴 ALERTA</v>
      </c>
      <c r="G14" s="44" t="s">
        <v>152</v>
      </c>
      <c r="H14" s="44" t="s">
        <v>153</v>
      </c>
      <c r="I14" s="44" t="s">
        <v>154</v>
      </c>
      <c r="J14" s="44" t="str">
        <f t="shared" si="1"/>
        <v>🚨 Acción urgente requerida</v>
      </c>
      <c r="K14" s="32" t="s">
        <v>424</v>
      </c>
      <c r="L14" s="44" t="s">
        <v>425</v>
      </c>
    </row>
    <row r="15" spans="1:12" ht="27.75" customHeight="1" x14ac:dyDescent="0.3">
      <c r="A15" s="36" t="s">
        <v>49</v>
      </c>
      <c r="B15" s="44" t="s">
        <v>190</v>
      </c>
      <c r="C15" s="45" t="s">
        <v>426</v>
      </c>
      <c r="D15" s="35" t="s">
        <v>136</v>
      </c>
      <c r="E15" s="46">
        <v>35</v>
      </c>
      <c r="F15" s="47" t="str">
        <f t="shared" si="0"/>
        <v>🔴 ALERTA</v>
      </c>
      <c r="G15" s="44" t="s">
        <v>104</v>
      </c>
      <c r="H15" s="44" t="s">
        <v>105</v>
      </c>
      <c r="I15" s="44" t="s">
        <v>106</v>
      </c>
      <c r="J15" s="44" t="str">
        <f t="shared" si="1"/>
        <v>🚨 Acción urgente requerida</v>
      </c>
      <c r="K15" s="32" t="s">
        <v>424</v>
      </c>
      <c r="L15" s="44" t="s">
        <v>427</v>
      </c>
    </row>
    <row r="16" spans="1:12" ht="27.75" customHeight="1" x14ac:dyDescent="0.3">
      <c r="A16" s="36" t="s">
        <v>49</v>
      </c>
      <c r="B16" s="44" t="s">
        <v>198</v>
      </c>
      <c r="C16" s="45" t="s">
        <v>428</v>
      </c>
      <c r="D16" s="35" t="s">
        <v>136</v>
      </c>
      <c r="E16" s="46">
        <v>85</v>
      </c>
      <c r="F16" s="47" t="str">
        <f t="shared" si="0"/>
        <v>🟢 ÓPTIMO</v>
      </c>
      <c r="G16" s="44" t="s">
        <v>104</v>
      </c>
      <c r="H16" s="44" t="s">
        <v>105</v>
      </c>
      <c r="I16" s="44" t="s">
        <v>106</v>
      </c>
      <c r="J16" s="44" t="str">
        <f t="shared" si="1"/>
        <v>✅ En cumplimiento</v>
      </c>
      <c r="K16" s="34" t="s">
        <v>413</v>
      </c>
      <c r="L16" s="44" t="s">
        <v>429</v>
      </c>
    </row>
    <row r="17" spans="1:12" ht="27.75" customHeight="1" x14ac:dyDescent="0.3">
      <c r="A17" s="36" t="s">
        <v>49</v>
      </c>
      <c r="B17" s="44" t="s">
        <v>206</v>
      </c>
      <c r="C17" s="45" t="s">
        <v>430</v>
      </c>
      <c r="D17" s="35" t="s">
        <v>136</v>
      </c>
      <c r="E17" s="46">
        <v>70</v>
      </c>
      <c r="F17" s="47" t="str">
        <f t="shared" si="0"/>
        <v>🟡 PRECAUCIÓN</v>
      </c>
      <c r="G17" s="44" t="s">
        <v>104</v>
      </c>
      <c r="H17" s="44" t="s">
        <v>105</v>
      </c>
      <c r="I17" s="44" t="s">
        <v>106</v>
      </c>
      <c r="J17" s="44" t="str">
        <f t="shared" si="1"/>
        <v>⚠️ Requiere atención</v>
      </c>
      <c r="K17" s="33" t="s">
        <v>411</v>
      </c>
      <c r="L17" s="44" t="s">
        <v>431</v>
      </c>
    </row>
    <row r="18" spans="1:12" ht="27.75" customHeight="1" x14ac:dyDescent="0.3">
      <c r="A18" s="37" t="s">
        <v>56</v>
      </c>
      <c r="B18" s="49" t="s">
        <v>213</v>
      </c>
      <c r="C18" s="50" t="s">
        <v>432</v>
      </c>
      <c r="D18" s="31" t="s">
        <v>98</v>
      </c>
      <c r="E18" s="51">
        <v>78</v>
      </c>
      <c r="F18" s="52" t="str">
        <f t="shared" si="0"/>
        <v>🟡 PRECAUCIÓN</v>
      </c>
      <c r="G18" s="49" t="s">
        <v>132</v>
      </c>
      <c r="H18" s="49" t="s">
        <v>133</v>
      </c>
      <c r="I18" s="49" t="s">
        <v>106</v>
      </c>
      <c r="J18" s="49" t="str">
        <f t="shared" si="1"/>
        <v>⚠️ Requiere atención</v>
      </c>
      <c r="K18" s="48" t="s">
        <v>408</v>
      </c>
      <c r="L18" s="49" t="s">
        <v>433</v>
      </c>
    </row>
    <row r="19" spans="1:12" ht="27.75" customHeight="1" x14ac:dyDescent="0.3">
      <c r="A19" s="37" t="s">
        <v>56</v>
      </c>
      <c r="B19" s="49" t="s">
        <v>220</v>
      </c>
      <c r="C19" s="50" t="s">
        <v>434</v>
      </c>
      <c r="D19" s="31" t="s">
        <v>98</v>
      </c>
      <c r="E19" s="51">
        <v>82</v>
      </c>
      <c r="F19" s="52" t="str">
        <f t="shared" si="0"/>
        <v>🟢 ÓPTIMO</v>
      </c>
      <c r="G19" s="49" t="s">
        <v>132</v>
      </c>
      <c r="H19" s="49" t="s">
        <v>133</v>
      </c>
      <c r="I19" s="49" t="s">
        <v>106</v>
      </c>
      <c r="J19" s="49" t="str">
        <f t="shared" si="1"/>
        <v>✅ En cumplimiento</v>
      </c>
      <c r="K19" s="34" t="s">
        <v>413</v>
      </c>
      <c r="L19" s="49" t="s">
        <v>435</v>
      </c>
    </row>
    <row r="20" spans="1:12" ht="27.75" customHeight="1" x14ac:dyDescent="0.3">
      <c r="A20" s="37" t="s">
        <v>56</v>
      </c>
      <c r="B20" s="49" t="s">
        <v>227</v>
      </c>
      <c r="C20" s="50" t="s">
        <v>436</v>
      </c>
      <c r="D20" s="31" t="s">
        <v>98</v>
      </c>
      <c r="E20" s="51">
        <v>88</v>
      </c>
      <c r="F20" s="52" t="str">
        <f t="shared" si="0"/>
        <v>🟢 ÓPTIMO</v>
      </c>
      <c r="G20" s="49" t="s">
        <v>232</v>
      </c>
      <c r="H20" s="49" t="s">
        <v>233</v>
      </c>
      <c r="I20" s="49" t="s">
        <v>234</v>
      </c>
      <c r="J20" s="49" t="str">
        <f t="shared" si="1"/>
        <v>✅ En cumplimiento</v>
      </c>
      <c r="K20" s="33" t="s">
        <v>411</v>
      </c>
      <c r="L20" s="49" t="s">
        <v>437</v>
      </c>
    </row>
    <row r="21" spans="1:12" ht="27.75" customHeight="1" x14ac:dyDescent="0.3">
      <c r="A21" s="37" t="s">
        <v>56</v>
      </c>
      <c r="B21" s="49" t="s">
        <v>236</v>
      </c>
      <c r="C21" s="50" t="s">
        <v>438</v>
      </c>
      <c r="D21" s="31" t="s">
        <v>98</v>
      </c>
      <c r="E21" s="51">
        <v>100</v>
      </c>
      <c r="F21" s="52" t="str">
        <f t="shared" si="0"/>
        <v>🟢 ÓPTIMO</v>
      </c>
      <c r="G21" s="49" t="s">
        <v>144</v>
      </c>
      <c r="H21" s="49" t="s">
        <v>241</v>
      </c>
      <c r="I21" s="49" t="s">
        <v>242</v>
      </c>
      <c r="J21" s="49" t="str">
        <f t="shared" si="1"/>
        <v>✅ En cumplimiento</v>
      </c>
      <c r="K21" s="34" t="s">
        <v>413</v>
      </c>
      <c r="L21" s="49" t="s">
        <v>439</v>
      </c>
    </row>
    <row r="22" spans="1:12" ht="27.75" customHeight="1" x14ac:dyDescent="0.3">
      <c r="A22" s="37" t="s">
        <v>56</v>
      </c>
      <c r="B22" s="49" t="s">
        <v>244</v>
      </c>
      <c r="C22" s="50" t="s">
        <v>440</v>
      </c>
      <c r="D22" s="31" t="s">
        <v>98</v>
      </c>
      <c r="E22" s="51">
        <v>70</v>
      </c>
      <c r="F22" s="52" t="str">
        <f t="shared" si="0"/>
        <v>🟡 PRECAUCIÓN</v>
      </c>
      <c r="G22" s="49" t="s">
        <v>132</v>
      </c>
      <c r="H22" s="49" t="s">
        <v>133</v>
      </c>
      <c r="I22" s="49" t="s">
        <v>106</v>
      </c>
      <c r="J22" s="49" t="str">
        <f t="shared" si="1"/>
        <v>⚠️ Requiere atención</v>
      </c>
      <c r="K22" s="48" t="s">
        <v>408</v>
      </c>
      <c r="L22" s="49" t="s">
        <v>441</v>
      </c>
    </row>
    <row r="23" spans="1:12" ht="27.75" customHeight="1" x14ac:dyDescent="0.3">
      <c r="A23" s="37" t="s">
        <v>56</v>
      </c>
      <c r="B23" s="49" t="s">
        <v>249</v>
      </c>
      <c r="C23" s="50" t="s">
        <v>442</v>
      </c>
      <c r="D23" s="35" t="s">
        <v>136</v>
      </c>
      <c r="E23" s="51">
        <v>85</v>
      </c>
      <c r="F23" s="52" t="str">
        <f t="shared" si="0"/>
        <v>🟢 ÓPTIMO</v>
      </c>
      <c r="G23" s="49" t="s">
        <v>104</v>
      </c>
      <c r="H23" s="49" t="s">
        <v>105</v>
      </c>
      <c r="I23" s="49" t="s">
        <v>106</v>
      </c>
      <c r="J23" s="49" t="str">
        <f t="shared" si="1"/>
        <v>✅ En cumplimiento</v>
      </c>
      <c r="K23" s="33" t="s">
        <v>411</v>
      </c>
      <c r="L23" s="49" t="s">
        <v>443</v>
      </c>
    </row>
    <row r="24" spans="1:12" ht="27.75" customHeight="1" x14ac:dyDescent="0.3">
      <c r="A24" s="37" t="s">
        <v>56</v>
      </c>
      <c r="B24" s="49" t="s">
        <v>254</v>
      </c>
      <c r="C24" s="50" t="s">
        <v>444</v>
      </c>
      <c r="D24" s="35" t="s">
        <v>136</v>
      </c>
      <c r="E24" s="51">
        <v>90</v>
      </c>
      <c r="F24" s="52" t="str">
        <f t="shared" si="0"/>
        <v>🟢 ÓPTIMO</v>
      </c>
      <c r="G24" s="49" t="s">
        <v>104</v>
      </c>
      <c r="H24" s="49" t="s">
        <v>105</v>
      </c>
      <c r="I24" s="49" t="s">
        <v>106</v>
      </c>
      <c r="J24" s="49" t="str">
        <f t="shared" si="1"/>
        <v>✅ En cumplimiento</v>
      </c>
      <c r="K24" s="33" t="s">
        <v>411</v>
      </c>
      <c r="L24" s="49" t="s">
        <v>445</v>
      </c>
    </row>
    <row r="25" spans="1:12" ht="27.75" customHeight="1" x14ac:dyDescent="0.3">
      <c r="A25" s="37" t="s">
        <v>56</v>
      </c>
      <c r="B25" s="49" t="s">
        <v>258</v>
      </c>
      <c r="C25" s="50" t="s">
        <v>446</v>
      </c>
      <c r="D25" s="35" t="s">
        <v>136</v>
      </c>
      <c r="E25" s="51">
        <v>95</v>
      </c>
      <c r="F25" s="52" t="str">
        <f t="shared" si="0"/>
        <v>🟢 ÓPTIMO</v>
      </c>
      <c r="G25" s="49" t="s">
        <v>104</v>
      </c>
      <c r="H25" s="49" t="s">
        <v>105</v>
      </c>
      <c r="I25" s="49" t="s">
        <v>106</v>
      </c>
      <c r="J25" s="49" t="str">
        <f t="shared" si="1"/>
        <v>✅ En cumplimiento</v>
      </c>
      <c r="K25" s="34" t="s">
        <v>413</v>
      </c>
      <c r="L25" s="49" t="s">
        <v>447</v>
      </c>
    </row>
    <row r="26" spans="1:12" ht="27.75" customHeight="1" x14ac:dyDescent="0.3">
      <c r="A26" s="39" t="s">
        <v>63</v>
      </c>
      <c r="B26" s="53" t="s">
        <v>264</v>
      </c>
      <c r="C26" s="54" t="s">
        <v>265</v>
      </c>
      <c r="D26" s="31" t="s">
        <v>98</v>
      </c>
      <c r="E26" s="55">
        <v>88</v>
      </c>
      <c r="F26" s="56" t="str">
        <f t="shared" si="0"/>
        <v>🟢 ÓPTIMO</v>
      </c>
      <c r="G26" s="53" t="s">
        <v>232</v>
      </c>
      <c r="H26" s="53" t="s">
        <v>233</v>
      </c>
      <c r="I26" s="53" t="s">
        <v>234</v>
      </c>
      <c r="J26" s="53" t="str">
        <f t="shared" si="1"/>
        <v>✅ En cumplimiento</v>
      </c>
      <c r="K26" s="33" t="s">
        <v>411</v>
      </c>
      <c r="L26" s="53" t="s">
        <v>448</v>
      </c>
    </row>
    <row r="27" spans="1:12" ht="27.75" customHeight="1" x14ac:dyDescent="0.3">
      <c r="A27" s="39" t="s">
        <v>63</v>
      </c>
      <c r="B27" s="53" t="s">
        <v>271</v>
      </c>
      <c r="C27" s="54" t="s">
        <v>272</v>
      </c>
      <c r="D27" s="31" t="s">
        <v>98</v>
      </c>
      <c r="E27" s="55">
        <v>75</v>
      </c>
      <c r="F27" s="56" t="str">
        <f t="shared" si="0"/>
        <v>🟡 PRECAUCIÓN</v>
      </c>
      <c r="G27" s="53" t="s">
        <v>232</v>
      </c>
      <c r="H27" s="53" t="s">
        <v>233</v>
      </c>
      <c r="I27" s="53" t="s">
        <v>234</v>
      </c>
      <c r="J27" s="53" t="str">
        <f t="shared" si="1"/>
        <v>⚠️ Requiere atención</v>
      </c>
      <c r="K27" s="48" t="s">
        <v>408</v>
      </c>
      <c r="L27" s="53" t="s">
        <v>449</v>
      </c>
    </row>
    <row r="28" spans="1:12" ht="27.75" customHeight="1" x14ac:dyDescent="0.3">
      <c r="A28" s="39" t="s">
        <v>63</v>
      </c>
      <c r="B28" s="53" t="s">
        <v>279</v>
      </c>
      <c r="C28" s="54" t="s">
        <v>450</v>
      </c>
      <c r="D28" s="31" t="s">
        <v>98</v>
      </c>
      <c r="E28" s="55">
        <v>66</v>
      </c>
      <c r="F28" s="56" t="str">
        <f t="shared" si="0"/>
        <v>🟡 PRECAUCIÓN</v>
      </c>
      <c r="G28" s="53" t="s">
        <v>104</v>
      </c>
      <c r="H28" s="53" t="s">
        <v>105</v>
      </c>
      <c r="I28" s="53" t="s">
        <v>106</v>
      </c>
      <c r="J28" s="53" t="str">
        <f t="shared" si="1"/>
        <v>⚠️ Requiere atención</v>
      </c>
      <c r="K28" s="33" t="s">
        <v>411</v>
      </c>
      <c r="L28" s="53" t="s">
        <v>451</v>
      </c>
    </row>
    <row r="29" spans="1:12" ht="27.75" customHeight="1" x14ac:dyDescent="0.3">
      <c r="A29" s="39" t="s">
        <v>63</v>
      </c>
      <c r="B29" s="53" t="s">
        <v>287</v>
      </c>
      <c r="C29" s="54" t="s">
        <v>452</v>
      </c>
      <c r="D29" s="31" t="s">
        <v>98</v>
      </c>
      <c r="E29" s="55">
        <v>92</v>
      </c>
      <c r="F29" s="56" t="str">
        <f t="shared" si="0"/>
        <v>🟢 ÓPTIMO</v>
      </c>
      <c r="G29" s="53" t="s">
        <v>232</v>
      </c>
      <c r="H29" s="53" t="s">
        <v>233</v>
      </c>
      <c r="I29" s="53" t="s">
        <v>234</v>
      </c>
      <c r="J29" s="53" t="str">
        <f t="shared" si="1"/>
        <v>✅ En cumplimiento</v>
      </c>
      <c r="K29" s="34" t="s">
        <v>413</v>
      </c>
      <c r="L29" s="53" t="s">
        <v>453</v>
      </c>
    </row>
    <row r="30" spans="1:12" ht="27.75" customHeight="1" x14ac:dyDescent="0.3">
      <c r="A30" s="39" t="s">
        <v>63</v>
      </c>
      <c r="B30" s="53" t="s">
        <v>292</v>
      </c>
      <c r="C30" s="54" t="s">
        <v>454</v>
      </c>
      <c r="D30" s="35" t="s">
        <v>136</v>
      </c>
      <c r="E30" s="55">
        <v>95</v>
      </c>
      <c r="F30" s="56" t="str">
        <f t="shared" si="0"/>
        <v>🟢 ÓPTIMO</v>
      </c>
      <c r="G30" s="53" t="s">
        <v>104</v>
      </c>
      <c r="H30" s="53" t="s">
        <v>105</v>
      </c>
      <c r="I30" s="53" t="s">
        <v>106</v>
      </c>
      <c r="J30" s="53" t="str">
        <f t="shared" si="1"/>
        <v>✅ En cumplimiento</v>
      </c>
      <c r="K30" s="34" t="s">
        <v>413</v>
      </c>
      <c r="L30" s="53" t="s">
        <v>455</v>
      </c>
    </row>
    <row r="31" spans="1:12" ht="27.75" customHeight="1" x14ac:dyDescent="0.3">
      <c r="A31" s="39" t="s">
        <v>63</v>
      </c>
      <c r="B31" s="53" t="s">
        <v>296</v>
      </c>
      <c r="C31" s="54" t="s">
        <v>456</v>
      </c>
      <c r="D31" s="35" t="s">
        <v>136</v>
      </c>
      <c r="E31" s="55">
        <v>65</v>
      </c>
      <c r="F31" s="56" t="str">
        <f t="shared" si="0"/>
        <v>🟡 PRECAUCIÓN</v>
      </c>
      <c r="G31" s="53" t="s">
        <v>104</v>
      </c>
      <c r="H31" s="53" t="s">
        <v>105</v>
      </c>
      <c r="I31" s="53" t="s">
        <v>106</v>
      </c>
      <c r="J31" s="53" t="str">
        <f t="shared" si="1"/>
        <v>⚠️ Requiere atención</v>
      </c>
      <c r="K31" s="33" t="s">
        <v>411</v>
      </c>
      <c r="L31" s="53" t="s">
        <v>457</v>
      </c>
    </row>
    <row r="32" spans="1:12" ht="27.75" customHeight="1" x14ac:dyDescent="0.3">
      <c r="A32" s="39" t="s">
        <v>63</v>
      </c>
      <c r="B32" s="53" t="s">
        <v>304</v>
      </c>
      <c r="C32" s="54" t="s">
        <v>458</v>
      </c>
      <c r="D32" s="35" t="s">
        <v>136</v>
      </c>
      <c r="E32" s="55">
        <v>60</v>
      </c>
      <c r="F32" s="56" t="str">
        <f t="shared" si="0"/>
        <v>🟡 PRECAUCIÓN</v>
      </c>
      <c r="G32" s="53" t="s">
        <v>104</v>
      </c>
      <c r="H32" s="53" t="s">
        <v>105</v>
      </c>
      <c r="I32" s="53" t="s">
        <v>106</v>
      </c>
      <c r="J32" s="53" t="str">
        <f t="shared" si="1"/>
        <v>⚠️ Requiere atención</v>
      </c>
      <c r="K32" s="48" t="s">
        <v>408</v>
      </c>
      <c r="L32" s="53" t="s">
        <v>459</v>
      </c>
    </row>
    <row r="33" spans="1:12" ht="27.75" customHeight="1" x14ac:dyDescent="0.3">
      <c r="A33" s="41" t="s">
        <v>69</v>
      </c>
      <c r="B33" s="57" t="s">
        <v>312</v>
      </c>
      <c r="C33" s="58" t="s">
        <v>460</v>
      </c>
      <c r="D33" s="31" t="s">
        <v>98</v>
      </c>
      <c r="E33" s="59">
        <v>70</v>
      </c>
      <c r="F33" s="60" t="str">
        <f t="shared" si="0"/>
        <v>🟡 PRECAUCIÓN</v>
      </c>
      <c r="G33" s="57" t="s">
        <v>132</v>
      </c>
      <c r="H33" s="57" t="s">
        <v>133</v>
      </c>
      <c r="I33" s="57" t="s">
        <v>106</v>
      </c>
      <c r="J33" s="57" t="str">
        <f t="shared" si="1"/>
        <v>⚠️ Requiere atención</v>
      </c>
      <c r="K33" s="48" t="s">
        <v>408</v>
      </c>
      <c r="L33" s="57" t="s">
        <v>461</v>
      </c>
    </row>
    <row r="34" spans="1:12" ht="27.75" customHeight="1" x14ac:dyDescent="0.3">
      <c r="A34" s="41" t="s">
        <v>69</v>
      </c>
      <c r="B34" s="57" t="s">
        <v>318</v>
      </c>
      <c r="C34" s="58" t="s">
        <v>462</v>
      </c>
      <c r="D34" s="31" t="s">
        <v>98</v>
      </c>
      <c r="E34" s="59">
        <v>90</v>
      </c>
      <c r="F34" s="60" t="str">
        <f t="shared" si="0"/>
        <v>🟢 ÓPTIMO</v>
      </c>
      <c r="G34" s="57" t="s">
        <v>132</v>
      </c>
      <c r="H34" s="57" t="s">
        <v>323</v>
      </c>
      <c r="I34" s="57" t="s">
        <v>234</v>
      </c>
      <c r="J34" s="57" t="str">
        <f t="shared" si="1"/>
        <v>✅ En cumplimiento</v>
      </c>
      <c r="K34" s="34" t="s">
        <v>413</v>
      </c>
      <c r="L34" s="57" t="s">
        <v>463</v>
      </c>
    </row>
    <row r="35" spans="1:12" ht="27.75" customHeight="1" x14ac:dyDescent="0.3">
      <c r="A35" s="41" t="s">
        <v>69</v>
      </c>
      <c r="B35" s="57" t="s">
        <v>325</v>
      </c>
      <c r="C35" s="58" t="s">
        <v>326</v>
      </c>
      <c r="D35" s="31" t="s">
        <v>98</v>
      </c>
      <c r="E35" s="59">
        <v>72</v>
      </c>
      <c r="F35" s="60" t="str">
        <f t="shared" si="0"/>
        <v>🟡 PRECAUCIÓN</v>
      </c>
      <c r="G35" s="57" t="s">
        <v>232</v>
      </c>
      <c r="H35" s="57" t="s">
        <v>233</v>
      </c>
      <c r="I35" s="57" t="s">
        <v>234</v>
      </c>
      <c r="J35" s="57" t="str">
        <f t="shared" si="1"/>
        <v>⚠️ Requiere atención</v>
      </c>
      <c r="K35" s="48" t="s">
        <v>408</v>
      </c>
      <c r="L35" s="57" t="s">
        <v>464</v>
      </c>
    </row>
    <row r="36" spans="1:12" ht="27.75" customHeight="1" x14ac:dyDescent="0.3">
      <c r="A36" s="41" t="s">
        <v>69</v>
      </c>
      <c r="B36" s="57" t="s">
        <v>333</v>
      </c>
      <c r="C36" s="58" t="s">
        <v>465</v>
      </c>
      <c r="D36" s="31" t="s">
        <v>98</v>
      </c>
      <c r="E36" s="59">
        <v>50</v>
      </c>
      <c r="F36" s="60" t="str">
        <f t="shared" si="0"/>
        <v>🟡 PRECAUCIÓN</v>
      </c>
      <c r="G36" s="57" t="s">
        <v>144</v>
      </c>
      <c r="H36" s="57" t="s">
        <v>241</v>
      </c>
      <c r="I36" s="57" t="s">
        <v>242</v>
      </c>
      <c r="J36" s="57" t="str">
        <f t="shared" si="1"/>
        <v>⚠️ Requiere atención</v>
      </c>
      <c r="K36" s="48" t="s">
        <v>408</v>
      </c>
      <c r="L36" s="57" t="s">
        <v>466</v>
      </c>
    </row>
    <row r="37" spans="1:12" ht="27.75" customHeight="1" x14ac:dyDescent="0.3">
      <c r="A37" s="41" t="s">
        <v>69</v>
      </c>
      <c r="B37" s="57" t="s">
        <v>339</v>
      </c>
      <c r="C37" s="58" t="s">
        <v>467</v>
      </c>
      <c r="D37" s="35" t="s">
        <v>136</v>
      </c>
      <c r="E37" s="59">
        <v>80</v>
      </c>
      <c r="F37" s="60" t="str">
        <f t="shared" si="0"/>
        <v>🟢 ÓPTIMO</v>
      </c>
      <c r="G37" s="57" t="s">
        <v>104</v>
      </c>
      <c r="H37" s="57" t="s">
        <v>105</v>
      </c>
      <c r="I37" s="57" t="s">
        <v>106</v>
      </c>
      <c r="J37" s="57" t="str">
        <f t="shared" si="1"/>
        <v>✅ En cumplimiento</v>
      </c>
      <c r="K37" s="33" t="s">
        <v>411</v>
      </c>
      <c r="L37" s="57" t="s">
        <v>468</v>
      </c>
    </row>
    <row r="38" spans="1:12" ht="27.75" customHeight="1" x14ac:dyDescent="0.3">
      <c r="A38" s="41" t="s">
        <v>69</v>
      </c>
      <c r="B38" s="57" t="s">
        <v>343</v>
      </c>
      <c r="C38" s="58" t="s">
        <v>469</v>
      </c>
      <c r="D38" s="35" t="s">
        <v>136</v>
      </c>
      <c r="E38" s="59">
        <v>75</v>
      </c>
      <c r="F38" s="60" t="str">
        <f t="shared" si="0"/>
        <v>🟡 PRECAUCIÓN</v>
      </c>
      <c r="G38" s="57" t="s">
        <v>104</v>
      </c>
      <c r="H38" s="57" t="s">
        <v>105</v>
      </c>
      <c r="I38" s="57" t="s">
        <v>106</v>
      </c>
      <c r="J38" s="57" t="str">
        <f t="shared" si="1"/>
        <v>⚠️ Requiere atención</v>
      </c>
      <c r="K38" s="33" t="s">
        <v>411</v>
      </c>
      <c r="L38" s="57" t="s">
        <v>470</v>
      </c>
    </row>
    <row r="39" spans="1:12" ht="27.75" customHeight="1" x14ac:dyDescent="0.3">
      <c r="A39" s="41" t="s">
        <v>69</v>
      </c>
      <c r="B39" s="57" t="s">
        <v>350</v>
      </c>
      <c r="C39" s="58" t="s">
        <v>471</v>
      </c>
      <c r="D39" s="35" t="s">
        <v>136</v>
      </c>
      <c r="E39" s="59">
        <v>100</v>
      </c>
      <c r="F39" s="60" t="str">
        <f t="shared" si="0"/>
        <v>🟢 ÓPTIMO</v>
      </c>
      <c r="G39" s="57" t="s">
        <v>104</v>
      </c>
      <c r="H39" s="57" t="s">
        <v>105</v>
      </c>
      <c r="I39" s="57" t="s">
        <v>106</v>
      </c>
      <c r="J39" s="57" t="str">
        <f t="shared" si="1"/>
        <v>✅ En cumplimiento</v>
      </c>
      <c r="K39" s="34" t="s">
        <v>413</v>
      </c>
      <c r="L39" s="57" t="s">
        <v>472</v>
      </c>
    </row>
    <row r="40" spans="1:12" ht="27.75" customHeight="1" x14ac:dyDescent="0.3">
      <c r="A40" s="43" t="s">
        <v>76</v>
      </c>
      <c r="B40" s="49" t="s">
        <v>356</v>
      </c>
      <c r="C40" s="50" t="s">
        <v>473</v>
      </c>
      <c r="D40" s="31" t="s">
        <v>98</v>
      </c>
      <c r="E40" s="51">
        <v>68</v>
      </c>
      <c r="F40" s="52" t="str">
        <f t="shared" si="0"/>
        <v>🟡 PRECAUCIÓN</v>
      </c>
      <c r="G40" s="49" t="s">
        <v>132</v>
      </c>
      <c r="H40" s="49" t="s">
        <v>133</v>
      </c>
      <c r="I40" s="49" t="s">
        <v>106</v>
      </c>
      <c r="J40" s="49" t="str">
        <f t="shared" si="1"/>
        <v>⚠️ Requiere atención</v>
      </c>
      <c r="K40" s="48" t="s">
        <v>408</v>
      </c>
      <c r="L40" s="49" t="s">
        <v>474</v>
      </c>
    </row>
    <row r="41" spans="1:12" ht="27.75" customHeight="1" x14ac:dyDescent="0.3">
      <c r="A41" s="43" t="s">
        <v>76</v>
      </c>
      <c r="B41" s="49" t="s">
        <v>361</v>
      </c>
      <c r="C41" s="50" t="s">
        <v>475</v>
      </c>
      <c r="D41" s="31" t="s">
        <v>98</v>
      </c>
      <c r="E41" s="51">
        <v>92</v>
      </c>
      <c r="F41" s="52" t="str">
        <f t="shared" si="0"/>
        <v>🟢 ÓPTIMO</v>
      </c>
      <c r="G41" s="49" t="s">
        <v>365</v>
      </c>
      <c r="H41" s="49" t="s">
        <v>366</v>
      </c>
      <c r="I41" s="49" t="s">
        <v>367</v>
      </c>
      <c r="J41" s="49" t="str">
        <f t="shared" si="1"/>
        <v>✅ En cumplimiento</v>
      </c>
      <c r="K41" s="33" t="s">
        <v>411</v>
      </c>
      <c r="L41" s="49" t="s">
        <v>476</v>
      </c>
    </row>
    <row r="42" spans="1:12" ht="27.75" customHeight="1" x14ac:dyDescent="0.3">
      <c r="A42" s="43" t="s">
        <v>76</v>
      </c>
      <c r="B42" s="49" t="s">
        <v>368</v>
      </c>
      <c r="C42" s="50" t="s">
        <v>477</v>
      </c>
      <c r="D42" s="31" t="s">
        <v>98</v>
      </c>
      <c r="E42" s="51">
        <v>75</v>
      </c>
      <c r="F42" s="52" t="str">
        <f t="shared" si="0"/>
        <v>🟡 PRECAUCIÓN</v>
      </c>
      <c r="G42" s="49" t="s">
        <v>132</v>
      </c>
      <c r="H42" s="49" t="s">
        <v>133</v>
      </c>
      <c r="I42" s="49" t="s">
        <v>106</v>
      </c>
      <c r="J42" s="49" t="str">
        <f t="shared" si="1"/>
        <v>⚠️ Requiere atención</v>
      </c>
      <c r="K42" s="48" t="s">
        <v>408</v>
      </c>
      <c r="L42" s="49" t="s">
        <v>478</v>
      </c>
    </row>
    <row r="43" spans="1:12" ht="27.75" customHeight="1" x14ac:dyDescent="0.3">
      <c r="A43" s="43" t="s">
        <v>76</v>
      </c>
      <c r="B43" s="49" t="s">
        <v>374</v>
      </c>
      <c r="C43" s="50" t="s">
        <v>479</v>
      </c>
      <c r="D43" s="31" t="s">
        <v>98</v>
      </c>
      <c r="E43" s="51">
        <v>55</v>
      </c>
      <c r="F43" s="52" t="str">
        <f t="shared" si="0"/>
        <v>🟡 PRECAUCIÓN</v>
      </c>
      <c r="G43" s="49" t="s">
        <v>104</v>
      </c>
      <c r="H43" s="49" t="s">
        <v>105</v>
      </c>
      <c r="I43" s="49" t="s">
        <v>106</v>
      </c>
      <c r="J43" s="49" t="str">
        <f t="shared" si="1"/>
        <v>⚠️ Requiere atención</v>
      </c>
      <c r="K43" s="48" t="s">
        <v>408</v>
      </c>
      <c r="L43" s="49" t="s">
        <v>480</v>
      </c>
    </row>
    <row r="44" spans="1:12" ht="27.75" customHeight="1" x14ac:dyDescent="0.3">
      <c r="A44" s="43" t="s">
        <v>76</v>
      </c>
      <c r="B44" s="49" t="s">
        <v>380</v>
      </c>
      <c r="C44" s="50" t="s">
        <v>481</v>
      </c>
      <c r="D44" s="35" t="s">
        <v>136</v>
      </c>
      <c r="E44" s="51">
        <v>70</v>
      </c>
      <c r="F44" s="52" t="str">
        <f t="shared" si="0"/>
        <v>🟡 PRECAUCIÓN</v>
      </c>
      <c r="G44" s="49" t="s">
        <v>104</v>
      </c>
      <c r="H44" s="49" t="s">
        <v>105</v>
      </c>
      <c r="I44" s="49" t="s">
        <v>106</v>
      </c>
      <c r="J44" s="49" t="str">
        <f t="shared" si="1"/>
        <v>⚠️ Requiere atención</v>
      </c>
      <c r="K44" s="33" t="s">
        <v>411</v>
      </c>
      <c r="L44" s="49" t="s">
        <v>482</v>
      </c>
    </row>
    <row r="45" spans="1:12" ht="27.75" customHeight="1" x14ac:dyDescent="0.3">
      <c r="A45" s="43" t="s">
        <v>76</v>
      </c>
      <c r="B45" s="49" t="s">
        <v>386</v>
      </c>
      <c r="C45" s="50" t="s">
        <v>483</v>
      </c>
      <c r="D45" s="35" t="s">
        <v>136</v>
      </c>
      <c r="E45" s="51">
        <v>78</v>
      </c>
      <c r="F45" s="52" t="str">
        <f t="shared" si="0"/>
        <v>🟡 PRECAUCIÓN</v>
      </c>
      <c r="G45" s="49" t="s">
        <v>132</v>
      </c>
      <c r="H45" s="49" t="s">
        <v>133</v>
      </c>
      <c r="I45" s="49" t="s">
        <v>106</v>
      </c>
      <c r="J45" s="49" t="str">
        <f t="shared" si="1"/>
        <v>⚠️ Requiere atención</v>
      </c>
      <c r="K45" s="48" t="s">
        <v>408</v>
      </c>
      <c r="L45" s="49" t="s">
        <v>484</v>
      </c>
    </row>
    <row r="46" spans="1:12" ht="27.75" customHeight="1" x14ac:dyDescent="0.3">
      <c r="A46" s="43" t="s">
        <v>76</v>
      </c>
      <c r="B46" s="49" t="s">
        <v>391</v>
      </c>
      <c r="C46" s="50" t="s">
        <v>485</v>
      </c>
      <c r="D46" s="35" t="s">
        <v>136</v>
      </c>
      <c r="E46" s="51">
        <v>90</v>
      </c>
      <c r="F46" s="52" t="str">
        <f t="shared" si="0"/>
        <v>🟢 ÓPTIMO</v>
      </c>
      <c r="G46" s="49" t="s">
        <v>104</v>
      </c>
      <c r="H46" s="49" t="s">
        <v>105</v>
      </c>
      <c r="I46" s="49" t="s">
        <v>106</v>
      </c>
      <c r="J46" s="49" t="str">
        <f t="shared" si="1"/>
        <v>✅ En cumplimiento</v>
      </c>
      <c r="K46" s="33" t="s">
        <v>411</v>
      </c>
      <c r="L46" s="49" t="s">
        <v>486</v>
      </c>
    </row>
    <row r="47" spans="1:12" ht="24" customHeight="1" x14ac:dyDescent="0.3">
      <c r="A47" s="96" t="s">
        <v>487</v>
      </c>
      <c r="B47" s="96"/>
      <c r="C47" s="96"/>
      <c r="D47" s="96"/>
      <c r="E47" s="61">
        <f>AVERAGE(E4:E46)</f>
        <v>71.325581395348834</v>
      </c>
      <c r="F47" s="62" t="str">
        <f t="shared" si="0"/>
        <v>🟡 PRECAUCIÓN</v>
      </c>
    </row>
  </sheetData>
  <mergeCells count="3">
    <mergeCell ref="A1:L1"/>
    <mergeCell ref="A2:L2"/>
    <mergeCell ref="A47:D4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H1"/>
    </sheetView>
  </sheetViews>
  <sheetFormatPr baseColWidth="10" defaultColWidth="8.6640625" defaultRowHeight="14.4" x14ac:dyDescent="0.3"/>
  <cols>
    <col min="1" max="1" width="10" customWidth="1"/>
    <col min="2" max="2" width="30" customWidth="1"/>
    <col min="3" max="3" width="55" customWidth="1"/>
    <col min="4" max="4" width="18" customWidth="1"/>
    <col min="5" max="5" width="28" customWidth="1"/>
    <col min="6" max="6" width="18" customWidth="1"/>
    <col min="7" max="7" width="26" customWidth="1"/>
    <col min="8" max="8" width="14" customWidth="1"/>
  </cols>
  <sheetData>
    <row r="1" spans="1:8" ht="24" customHeight="1" x14ac:dyDescent="0.3">
      <c r="A1" s="97" t="s">
        <v>488</v>
      </c>
      <c r="B1" s="97"/>
      <c r="C1" s="97"/>
      <c r="D1" s="97"/>
      <c r="E1" s="97"/>
      <c r="F1" s="97"/>
      <c r="G1" s="97"/>
      <c r="H1" s="97"/>
    </row>
    <row r="2" spans="1:8" ht="15" customHeight="1" x14ac:dyDescent="0.3">
      <c r="A2" s="95" t="s">
        <v>489</v>
      </c>
      <c r="B2" s="95"/>
      <c r="C2" s="95"/>
      <c r="D2" s="95"/>
      <c r="E2" s="95"/>
      <c r="F2" s="95"/>
      <c r="G2" s="95"/>
      <c r="H2" s="95"/>
    </row>
    <row r="3" spans="1:8" ht="27.75" customHeight="1" x14ac:dyDescent="0.3">
      <c r="A3" s="8" t="s">
        <v>490</v>
      </c>
      <c r="B3" s="8" t="s">
        <v>491</v>
      </c>
      <c r="C3" s="8" t="s">
        <v>492</v>
      </c>
      <c r="D3" s="8" t="s">
        <v>493</v>
      </c>
      <c r="E3" s="8" t="s">
        <v>494</v>
      </c>
      <c r="F3" s="8" t="s">
        <v>495</v>
      </c>
      <c r="G3" s="8" t="s">
        <v>496</v>
      </c>
      <c r="H3" s="8" t="s">
        <v>497</v>
      </c>
    </row>
    <row r="4" spans="1:8" ht="54.75" customHeight="1" x14ac:dyDescent="0.3">
      <c r="A4" s="63" t="s">
        <v>498</v>
      </c>
      <c r="B4" s="64" t="s">
        <v>499</v>
      </c>
      <c r="C4" s="65" t="s">
        <v>500</v>
      </c>
      <c r="D4" s="65" t="s">
        <v>501</v>
      </c>
      <c r="E4" s="65" t="s">
        <v>502</v>
      </c>
      <c r="F4" s="65" t="s">
        <v>503</v>
      </c>
      <c r="G4" s="66" t="s">
        <v>504</v>
      </c>
      <c r="H4" s="33" t="s">
        <v>505</v>
      </c>
    </row>
    <row r="5" spans="1:8" ht="54.75" customHeight="1" x14ac:dyDescent="0.3">
      <c r="A5" s="63" t="s">
        <v>188</v>
      </c>
      <c r="B5" s="67" t="s">
        <v>506</v>
      </c>
      <c r="C5" s="68" t="s">
        <v>507</v>
      </c>
      <c r="D5" s="68" t="s">
        <v>508</v>
      </c>
      <c r="E5" s="68" t="s">
        <v>509</v>
      </c>
      <c r="F5" s="68" t="s">
        <v>125</v>
      </c>
      <c r="G5" s="69" t="s">
        <v>510</v>
      </c>
      <c r="H5" s="33" t="s">
        <v>505</v>
      </c>
    </row>
    <row r="6" spans="1:8" ht="54.75" customHeight="1" x14ac:dyDescent="0.3">
      <c r="A6" s="63" t="s">
        <v>182</v>
      </c>
      <c r="B6" s="64" t="s">
        <v>511</v>
      </c>
      <c r="C6" s="65" t="s">
        <v>512</v>
      </c>
      <c r="D6" s="65" t="s">
        <v>508</v>
      </c>
      <c r="E6" s="65" t="s">
        <v>513</v>
      </c>
      <c r="F6" s="65" t="s">
        <v>103</v>
      </c>
      <c r="G6" s="66" t="s">
        <v>510</v>
      </c>
      <c r="H6" s="33" t="s">
        <v>505</v>
      </c>
    </row>
    <row r="7" spans="1:8" ht="54.75" customHeight="1" x14ac:dyDescent="0.3">
      <c r="A7" s="63" t="s">
        <v>134</v>
      </c>
      <c r="B7" s="67" t="s">
        <v>514</v>
      </c>
      <c r="C7" s="68" t="s">
        <v>515</v>
      </c>
      <c r="D7" s="68" t="s">
        <v>501</v>
      </c>
      <c r="E7" s="68" t="s">
        <v>516</v>
      </c>
      <c r="F7" s="68" t="s">
        <v>114</v>
      </c>
      <c r="G7" s="69" t="s">
        <v>517</v>
      </c>
      <c r="H7" s="32" t="s">
        <v>518</v>
      </c>
    </row>
    <row r="8" spans="1:8" ht="54.75" customHeight="1" x14ac:dyDescent="0.3">
      <c r="A8" s="63" t="s">
        <v>519</v>
      </c>
      <c r="B8" s="64" t="s">
        <v>520</v>
      </c>
      <c r="C8" s="65" t="s">
        <v>521</v>
      </c>
      <c r="D8" s="65" t="s">
        <v>501</v>
      </c>
      <c r="E8" s="65" t="s">
        <v>522</v>
      </c>
      <c r="F8" s="65" t="s">
        <v>523</v>
      </c>
      <c r="G8" s="66" t="s">
        <v>510</v>
      </c>
      <c r="H8" s="33" t="s">
        <v>505</v>
      </c>
    </row>
    <row r="9" spans="1:8" ht="54.75" customHeight="1" x14ac:dyDescent="0.3">
      <c r="A9" s="63" t="s">
        <v>118</v>
      </c>
      <c r="B9" s="67" t="s">
        <v>524</v>
      </c>
      <c r="C9" s="68" t="s">
        <v>525</v>
      </c>
      <c r="D9" s="68" t="s">
        <v>501</v>
      </c>
      <c r="E9" s="68" t="s">
        <v>109</v>
      </c>
      <c r="F9" s="68" t="s">
        <v>114</v>
      </c>
      <c r="G9" s="69" t="s">
        <v>526</v>
      </c>
      <c r="H9" s="33" t="s">
        <v>505</v>
      </c>
    </row>
    <row r="10" spans="1:8" ht="54.75" customHeight="1" x14ac:dyDescent="0.3">
      <c r="A10" s="63" t="s">
        <v>164</v>
      </c>
      <c r="B10" s="64" t="s">
        <v>527</v>
      </c>
      <c r="C10" s="65" t="s">
        <v>528</v>
      </c>
      <c r="D10" s="65" t="s">
        <v>501</v>
      </c>
      <c r="E10" s="65" t="s">
        <v>529</v>
      </c>
      <c r="F10" s="65" t="s">
        <v>125</v>
      </c>
      <c r="G10" s="66" t="s">
        <v>510</v>
      </c>
      <c r="H10" s="34" t="s">
        <v>530</v>
      </c>
    </row>
    <row r="11" spans="1:8" ht="54.75" customHeight="1" x14ac:dyDescent="0.3">
      <c r="A11" s="63" t="s">
        <v>176</v>
      </c>
      <c r="B11" s="67" t="s">
        <v>531</v>
      </c>
      <c r="C11" s="68" t="s">
        <v>532</v>
      </c>
      <c r="D11" s="68" t="s">
        <v>508</v>
      </c>
      <c r="E11" s="68" t="s">
        <v>533</v>
      </c>
      <c r="F11" s="68" t="s">
        <v>114</v>
      </c>
      <c r="G11" s="69" t="s">
        <v>510</v>
      </c>
      <c r="H11" s="32" t="s">
        <v>518</v>
      </c>
    </row>
    <row r="12" spans="1:8" ht="54.75" customHeight="1" x14ac:dyDescent="0.3">
      <c r="A12" s="63" t="s">
        <v>218</v>
      </c>
      <c r="B12" s="64" t="s">
        <v>534</v>
      </c>
      <c r="C12" s="65" t="s">
        <v>535</v>
      </c>
      <c r="D12" s="65" t="s">
        <v>536</v>
      </c>
      <c r="E12" s="65" t="s">
        <v>537</v>
      </c>
      <c r="F12" s="65" t="s">
        <v>103</v>
      </c>
      <c r="G12" s="66" t="s">
        <v>538</v>
      </c>
      <c r="H12" s="33" t="s">
        <v>505</v>
      </c>
    </row>
    <row r="13" spans="1:8" ht="54.75" customHeight="1" x14ac:dyDescent="0.3">
      <c r="A13" s="63" t="s">
        <v>225</v>
      </c>
      <c r="B13" s="67" t="s">
        <v>539</v>
      </c>
      <c r="C13" s="68" t="s">
        <v>540</v>
      </c>
      <c r="D13" s="68" t="s">
        <v>536</v>
      </c>
      <c r="E13" s="68" t="s">
        <v>541</v>
      </c>
      <c r="F13" s="68" t="s">
        <v>503</v>
      </c>
      <c r="G13" s="69" t="s">
        <v>504</v>
      </c>
      <c r="H13" s="33" t="s">
        <v>505</v>
      </c>
    </row>
    <row r="14" spans="1:8" ht="54.75" customHeight="1" x14ac:dyDescent="0.3">
      <c r="A14" s="63" t="s">
        <v>243</v>
      </c>
      <c r="B14" s="64" t="s">
        <v>542</v>
      </c>
      <c r="C14" s="65" t="s">
        <v>543</v>
      </c>
      <c r="D14" s="65" t="s">
        <v>536</v>
      </c>
      <c r="E14" s="65" t="s">
        <v>236</v>
      </c>
      <c r="F14" s="65" t="s">
        <v>544</v>
      </c>
      <c r="G14" s="66" t="s">
        <v>510</v>
      </c>
      <c r="H14" s="33" t="s">
        <v>505</v>
      </c>
    </row>
    <row r="15" spans="1:8" ht="54.75" customHeight="1" x14ac:dyDescent="0.3">
      <c r="A15" s="63" t="s">
        <v>270</v>
      </c>
      <c r="B15" s="67" t="s">
        <v>545</v>
      </c>
      <c r="C15" s="68" t="s">
        <v>546</v>
      </c>
      <c r="D15" s="68" t="s">
        <v>547</v>
      </c>
      <c r="E15" s="68" t="s">
        <v>548</v>
      </c>
      <c r="F15" s="68" t="s">
        <v>503</v>
      </c>
      <c r="G15" s="69" t="s">
        <v>504</v>
      </c>
      <c r="H15" s="33" t="s">
        <v>505</v>
      </c>
    </row>
    <row r="16" spans="1:8" ht="54.75" customHeight="1" x14ac:dyDescent="0.3">
      <c r="A16" s="63" t="s">
        <v>286</v>
      </c>
      <c r="B16" s="64" t="s">
        <v>549</v>
      </c>
      <c r="C16" s="65" t="s">
        <v>550</v>
      </c>
      <c r="D16" s="65" t="s">
        <v>547</v>
      </c>
      <c r="E16" s="65" t="s">
        <v>551</v>
      </c>
      <c r="F16" s="65" t="s">
        <v>552</v>
      </c>
      <c r="G16" s="66" t="s">
        <v>538</v>
      </c>
      <c r="H16" s="32" t="s">
        <v>518</v>
      </c>
    </row>
    <row r="17" spans="1:8" ht="54.75" customHeight="1" x14ac:dyDescent="0.3">
      <c r="A17" s="63" t="s">
        <v>332</v>
      </c>
      <c r="B17" s="67" t="s">
        <v>553</v>
      </c>
      <c r="C17" s="68" t="s">
        <v>554</v>
      </c>
      <c r="D17" s="68" t="s">
        <v>555</v>
      </c>
      <c r="E17" s="68" t="s">
        <v>556</v>
      </c>
      <c r="F17" s="68" t="s">
        <v>557</v>
      </c>
      <c r="G17" s="69" t="s">
        <v>504</v>
      </c>
      <c r="H17" s="33" t="s">
        <v>505</v>
      </c>
    </row>
    <row r="18" spans="1:8" ht="54.75" customHeight="1" x14ac:dyDescent="0.3">
      <c r="A18" s="63" t="s">
        <v>338</v>
      </c>
      <c r="B18" s="64" t="s">
        <v>558</v>
      </c>
      <c r="C18" s="65" t="s">
        <v>559</v>
      </c>
      <c r="D18" s="65" t="s">
        <v>555</v>
      </c>
      <c r="E18" s="65" t="s">
        <v>560</v>
      </c>
      <c r="F18" s="65" t="s">
        <v>561</v>
      </c>
      <c r="G18" s="66" t="s">
        <v>510</v>
      </c>
      <c r="H18" s="33" t="s">
        <v>505</v>
      </c>
    </row>
    <row r="19" spans="1:8" ht="54.75" customHeight="1" x14ac:dyDescent="0.3">
      <c r="A19" s="63" t="s">
        <v>562</v>
      </c>
      <c r="B19" s="67" t="s">
        <v>563</v>
      </c>
      <c r="C19" s="68" t="s">
        <v>564</v>
      </c>
      <c r="D19" s="68" t="s">
        <v>555</v>
      </c>
      <c r="E19" s="68" t="s">
        <v>565</v>
      </c>
      <c r="F19" s="68" t="s">
        <v>566</v>
      </c>
      <c r="G19" s="69" t="s">
        <v>567</v>
      </c>
      <c r="H19" s="34" t="s">
        <v>530</v>
      </c>
    </row>
    <row r="20" spans="1:8" ht="54.75" customHeight="1" x14ac:dyDescent="0.3">
      <c r="A20" s="63" t="s">
        <v>568</v>
      </c>
      <c r="B20" s="64" t="s">
        <v>569</v>
      </c>
      <c r="C20" s="65" t="s">
        <v>570</v>
      </c>
      <c r="D20" s="65" t="s">
        <v>555</v>
      </c>
      <c r="E20" s="65" t="s">
        <v>318</v>
      </c>
      <c r="F20" s="65" t="s">
        <v>566</v>
      </c>
      <c r="G20" s="66" t="s">
        <v>567</v>
      </c>
      <c r="H20" s="34" t="s">
        <v>530</v>
      </c>
    </row>
    <row r="21" spans="1:8" ht="54.75" customHeight="1" x14ac:dyDescent="0.3">
      <c r="A21" s="63" t="s">
        <v>108</v>
      </c>
      <c r="B21" s="67" t="s">
        <v>571</v>
      </c>
      <c r="C21" s="68" t="s">
        <v>572</v>
      </c>
      <c r="D21" s="68" t="s">
        <v>573</v>
      </c>
      <c r="E21" s="68" t="s">
        <v>574</v>
      </c>
      <c r="F21" s="68" t="s">
        <v>575</v>
      </c>
      <c r="G21" s="69" t="s">
        <v>504</v>
      </c>
      <c r="H21" s="33" t="s">
        <v>505</v>
      </c>
    </row>
    <row r="22" spans="1:8" ht="54.75" customHeight="1" x14ac:dyDescent="0.3">
      <c r="A22" s="63" t="s">
        <v>373</v>
      </c>
      <c r="B22" s="64" t="s">
        <v>576</v>
      </c>
      <c r="C22" s="65" t="s">
        <v>577</v>
      </c>
      <c r="D22" s="65" t="s">
        <v>573</v>
      </c>
      <c r="E22" s="65" t="s">
        <v>578</v>
      </c>
      <c r="F22" s="65" t="s">
        <v>114</v>
      </c>
      <c r="G22" s="66" t="s">
        <v>510</v>
      </c>
      <c r="H22" s="33" t="s">
        <v>505</v>
      </c>
    </row>
    <row r="23" spans="1:8" ht="54.75" customHeight="1" x14ac:dyDescent="0.3">
      <c r="A23" s="63" t="s">
        <v>379</v>
      </c>
      <c r="B23" s="67" t="s">
        <v>579</v>
      </c>
      <c r="C23" s="68" t="s">
        <v>580</v>
      </c>
      <c r="D23" s="68" t="s">
        <v>573</v>
      </c>
      <c r="E23" s="68" t="s">
        <v>374</v>
      </c>
      <c r="F23" s="68" t="s">
        <v>503</v>
      </c>
      <c r="G23" s="69" t="s">
        <v>526</v>
      </c>
      <c r="H23" s="33" t="s">
        <v>505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25" sqref="C25"/>
    </sheetView>
  </sheetViews>
  <sheetFormatPr baseColWidth="10" defaultColWidth="8.6640625" defaultRowHeight="14.4" x14ac:dyDescent="0.3"/>
  <cols>
    <col min="1" max="1" width="8.77734375" customWidth="1"/>
    <col min="2" max="2" width="18" customWidth="1"/>
    <col min="3" max="3" width="48" customWidth="1"/>
    <col min="4" max="4" width="14" customWidth="1"/>
    <col min="5" max="6" width="12" customWidth="1"/>
    <col min="7" max="7" width="13" customWidth="1"/>
    <col min="8" max="8" width="10" customWidth="1"/>
    <col min="9" max="9" width="34.5546875" customWidth="1"/>
    <col min="10" max="10" width="36" customWidth="1"/>
    <col min="11" max="11" width="40" customWidth="1"/>
  </cols>
  <sheetData>
    <row r="1" spans="1:11" ht="24" customHeight="1" x14ac:dyDescent="0.3">
      <c r="A1" s="97" t="s">
        <v>683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1" ht="15" customHeight="1" x14ac:dyDescent="0.3">
      <c r="A2" s="95" t="s">
        <v>684</v>
      </c>
      <c r="B2" s="95"/>
      <c r="C2" s="95"/>
      <c r="D2" s="95"/>
      <c r="E2" s="95"/>
      <c r="F2" s="95"/>
      <c r="G2" s="95"/>
      <c r="H2" s="95"/>
      <c r="I2" s="95"/>
      <c r="J2" s="95"/>
      <c r="K2" s="95"/>
    </row>
    <row r="3" spans="1:11" ht="27.75" customHeight="1" x14ac:dyDescent="0.3">
      <c r="A3" s="8" t="s">
        <v>85</v>
      </c>
      <c r="B3" s="8" t="s">
        <v>685</v>
      </c>
      <c r="C3" s="8" t="s">
        <v>686</v>
      </c>
      <c r="D3" s="8" t="s">
        <v>687</v>
      </c>
      <c r="E3" s="8" t="s">
        <v>688</v>
      </c>
      <c r="F3" s="8" t="s">
        <v>689</v>
      </c>
      <c r="G3" s="8" t="s">
        <v>690</v>
      </c>
      <c r="H3" s="8" t="s">
        <v>691</v>
      </c>
      <c r="I3" s="8" t="s">
        <v>406</v>
      </c>
      <c r="J3" s="8" t="s">
        <v>692</v>
      </c>
      <c r="K3" s="8" t="s">
        <v>693</v>
      </c>
    </row>
    <row r="4" spans="1:11" ht="42" customHeight="1" x14ac:dyDescent="0.3">
      <c r="A4" s="29" t="s">
        <v>42</v>
      </c>
      <c r="B4" s="77" t="s">
        <v>694</v>
      </c>
      <c r="C4" s="77" t="s">
        <v>695</v>
      </c>
      <c r="D4" s="77" t="s">
        <v>134</v>
      </c>
      <c r="E4" s="77" t="s">
        <v>108</v>
      </c>
      <c r="F4" s="78">
        <v>2</v>
      </c>
      <c r="G4" s="79">
        <v>4</v>
      </c>
      <c r="H4" s="60">
        <f t="shared" ref="H4:H23" si="0">G4-F4</f>
        <v>2</v>
      </c>
      <c r="I4" s="80" t="s">
        <v>696</v>
      </c>
      <c r="J4" s="77" t="s">
        <v>697</v>
      </c>
    </row>
    <row r="5" spans="1:11" ht="42" customHeight="1" x14ac:dyDescent="0.3">
      <c r="A5" s="29" t="s">
        <v>42</v>
      </c>
      <c r="B5" s="77" t="s">
        <v>694</v>
      </c>
      <c r="C5" s="77" t="s">
        <v>698</v>
      </c>
      <c r="D5" s="77" t="s">
        <v>134</v>
      </c>
      <c r="E5" s="77" t="s">
        <v>108</v>
      </c>
      <c r="F5" s="81">
        <v>3</v>
      </c>
      <c r="G5" s="79">
        <v>4</v>
      </c>
      <c r="H5" s="56">
        <f t="shared" si="0"/>
        <v>1</v>
      </c>
      <c r="I5" s="80" t="s">
        <v>699</v>
      </c>
      <c r="J5" s="77" t="s">
        <v>700</v>
      </c>
    </row>
    <row r="6" spans="1:11" ht="42" customHeight="1" x14ac:dyDescent="0.3">
      <c r="A6" s="29" t="s">
        <v>42</v>
      </c>
      <c r="B6" s="77" t="s">
        <v>701</v>
      </c>
      <c r="C6" s="77" t="s">
        <v>702</v>
      </c>
      <c r="D6" s="77" t="s">
        <v>118</v>
      </c>
      <c r="E6" s="77" t="s">
        <v>108</v>
      </c>
      <c r="F6" s="78">
        <v>2</v>
      </c>
      <c r="G6" s="79">
        <v>3</v>
      </c>
      <c r="H6" s="56">
        <f t="shared" si="0"/>
        <v>1</v>
      </c>
      <c r="I6" s="80" t="s">
        <v>703</v>
      </c>
      <c r="J6" s="77" t="s">
        <v>704</v>
      </c>
    </row>
    <row r="7" spans="1:11" ht="42" customHeight="1" x14ac:dyDescent="0.3">
      <c r="A7" s="29" t="s">
        <v>42</v>
      </c>
      <c r="B7" s="77" t="s">
        <v>705</v>
      </c>
      <c r="C7" s="77" t="s">
        <v>706</v>
      </c>
      <c r="D7" s="77" t="s">
        <v>164</v>
      </c>
      <c r="E7" s="77" t="s">
        <v>146</v>
      </c>
      <c r="F7" s="78">
        <v>2</v>
      </c>
      <c r="G7" s="79">
        <v>4</v>
      </c>
      <c r="H7" s="60">
        <f t="shared" si="0"/>
        <v>2</v>
      </c>
      <c r="I7" s="80" t="s">
        <v>707</v>
      </c>
      <c r="J7" s="77" t="s">
        <v>708</v>
      </c>
    </row>
    <row r="8" spans="1:11" ht="42" customHeight="1" x14ac:dyDescent="0.3">
      <c r="A8" s="36" t="s">
        <v>49</v>
      </c>
      <c r="B8" s="77" t="s">
        <v>709</v>
      </c>
      <c r="C8" s="77" t="s">
        <v>710</v>
      </c>
      <c r="D8" s="77" t="s">
        <v>188</v>
      </c>
      <c r="E8" s="77" t="s">
        <v>54</v>
      </c>
      <c r="F8" s="78">
        <v>2</v>
      </c>
      <c r="G8" s="79">
        <v>4</v>
      </c>
      <c r="H8" s="60">
        <f t="shared" si="0"/>
        <v>2</v>
      </c>
      <c r="I8" s="80" t="s">
        <v>711</v>
      </c>
      <c r="J8" s="77" t="s">
        <v>712</v>
      </c>
    </row>
    <row r="9" spans="1:11" ht="42" customHeight="1" x14ac:dyDescent="0.3">
      <c r="A9" s="36" t="s">
        <v>49</v>
      </c>
      <c r="B9" s="77" t="s">
        <v>713</v>
      </c>
      <c r="C9" s="77" t="s">
        <v>714</v>
      </c>
      <c r="D9" s="77" t="s">
        <v>182</v>
      </c>
      <c r="E9" s="77" t="s">
        <v>54</v>
      </c>
      <c r="F9" s="78">
        <v>2</v>
      </c>
      <c r="G9" s="79">
        <v>4</v>
      </c>
      <c r="H9" s="60">
        <f t="shared" si="0"/>
        <v>2</v>
      </c>
      <c r="I9" s="80" t="s">
        <v>715</v>
      </c>
      <c r="J9" s="77" t="s">
        <v>716</v>
      </c>
    </row>
    <row r="10" spans="1:11" ht="42" customHeight="1" x14ac:dyDescent="0.3">
      <c r="A10" s="36" t="s">
        <v>49</v>
      </c>
      <c r="B10" s="77" t="s">
        <v>717</v>
      </c>
      <c r="C10" s="77" t="s">
        <v>718</v>
      </c>
      <c r="D10" s="77" t="s">
        <v>176</v>
      </c>
      <c r="E10" s="77" t="s">
        <v>189</v>
      </c>
      <c r="F10" s="78">
        <v>1</v>
      </c>
      <c r="G10" s="79">
        <v>3</v>
      </c>
      <c r="H10" s="60">
        <f t="shared" si="0"/>
        <v>2</v>
      </c>
      <c r="I10" s="80" t="s">
        <v>719</v>
      </c>
      <c r="J10" s="77" t="s">
        <v>720</v>
      </c>
    </row>
    <row r="11" spans="1:11" ht="42" customHeight="1" x14ac:dyDescent="0.3">
      <c r="A11" s="37" t="s">
        <v>56</v>
      </c>
      <c r="B11" s="82" t="s">
        <v>721</v>
      </c>
      <c r="C11" s="82" t="s">
        <v>722</v>
      </c>
      <c r="D11" s="82" t="s">
        <v>218</v>
      </c>
      <c r="E11" s="82" t="s">
        <v>219</v>
      </c>
      <c r="F11" s="81">
        <v>3</v>
      </c>
      <c r="G11" s="79">
        <v>4</v>
      </c>
      <c r="H11" s="56">
        <f t="shared" si="0"/>
        <v>1</v>
      </c>
      <c r="I11" s="80" t="s">
        <v>723</v>
      </c>
      <c r="J11" s="82" t="s">
        <v>724</v>
      </c>
    </row>
    <row r="12" spans="1:11" ht="42" customHeight="1" x14ac:dyDescent="0.3">
      <c r="A12" s="37" t="s">
        <v>56</v>
      </c>
      <c r="B12" s="82" t="s">
        <v>725</v>
      </c>
      <c r="C12" s="82" t="s">
        <v>726</v>
      </c>
      <c r="D12" s="82" t="s">
        <v>225</v>
      </c>
      <c r="E12" s="82" t="s">
        <v>226</v>
      </c>
      <c r="F12" s="81">
        <v>3</v>
      </c>
      <c r="G12" s="79">
        <v>5</v>
      </c>
      <c r="H12" s="60">
        <f t="shared" si="0"/>
        <v>2</v>
      </c>
      <c r="I12" s="80" t="s">
        <v>727</v>
      </c>
      <c r="J12" s="82" t="s">
        <v>728</v>
      </c>
    </row>
    <row r="13" spans="1:11" ht="42" customHeight="1" x14ac:dyDescent="0.3">
      <c r="A13" s="37" t="s">
        <v>56</v>
      </c>
      <c r="B13" s="82" t="s">
        <v>729</v>
      </c>
      <c r="C13" s="82" t="s">
        <v>730</v>
      </c>
      <c r="D13" s="82" t="s">
        <v>225</v>
      </c>
      <c r="E13" s="82" t="s">
        <v>235</v>
      </c>
      <c r="F13" s="81">
        <v>3</v>
      </c>
      <c r="G13" s="79">
        <v>4</v>
      </c>
      <c r="H13" s="56">
        <f t="shared" si="0"/>
        <v>1</v>
      </c>
      <c r="I13" s="80" t="s">
        <v>731</v>
      </c>
      <c r="J13" s="82" t="s">
        <v>732</v>
      </c>
    </row>
    <row r="14" spans="1:11" ht="42" customHeight="1" x14ac:dyDescent="0.3">
      <c r="A14" s="37" t="s">
        <v>56</v>
      </c>
      <c r="B14" s="82" t="s">
        <v>733</v>
      </c>
      <c r="C14" s="82" t="s">
        <v>734</v>
      </c>
      <c r="D14" s="82" t="s">
        <v>225</v>
      </c>
      <c r="E14" s="82" t="s">
        <v>226</v>
      </c>
      <c r="F14" s="78">
        <v>2</v>
      </c>
      <c r="G14" s="79">
        <v>4</v>
      </c>
      <c r="H14" s="60">
        <f t="shared" si="0"/>
        <v>2</v>
      </c>
      <c r="I14" s="80" t="s">
        <v>735</v>
      </c>
      <c r="J14" s="82" t="s">
        <v>736</v>
      </c>
    </row>
    <row r="15" spans="1:11" ht="42" customHeight="1" x14ac:dyDescent="0.3">
      <c r="A15" s="39" t="s">
        <v>63</v>
      </c>
      <c r="B15" s="83" t="s">
        <v>300</v>
      </c>
      <c r="C15" s="83" t="s">
        <v>737</v>
      </c>
      <c r="D15" s="83" t="s">
        <v>270</v>
      </c>
      <c r="E15" s="83" t="s">
        <v>54</v>
      </c>
      <c r="F15" s="81">
        <v>3</v>
      </c>
      <c r="G15" s="79">
        <v>4</v>
      </c>
      <c r="H15" s="56">
        <f t="shared" si="0"/>
        <v>1</v>
      </c>
      <c r="I15" s="80" t="s">
        <v>738</v>
      </c>
      <c r="J15" s="83" t="s">
        <v>739</v>
      </c>
    </row>
    <row r="16" spans="1:11" ht="42" customHeight="1" x14ac:dyDescent="0.3">
      <c r="A16" s="39" t="s">
        <v>63</v>
      </c>
      <c r="B16" s="83" t="s">
        <v>740</v>
      </c>
      <c r="C16" s="83" t="s">
        <v>741</v>
      </c>
      <c r="D16" s="83" t="s">
        <v>270</v>
      </c>
      <c r="E16" s="83" t="s">
        <v>54</v>
      </c>
      <c r="F16" s="78">
        <v>2</v>
      </c>
      <c r="G16" s="79">
        <v>4</v>
      </c>
      <c r="H16" s="60">
        <f t="shared" si="0"/>
        <v>2</v>
      </c>
      <c r="I16" s="80" t="s">
        <v>742</v>
      </c>
      <c r="J16" s="83" t="s">
        <v>743</v>
      </c>
    </row>
    <row r="17" spans="1:10" ht="42" customHeight="1" x14ac:dyDescent="0.3">
      <c r="A17" s="39" t="s">
        <v>63</v>
      </c>
      <c r="B17" s="83" t="s">
        <v>744</v>
      </c>
      <c r="C17" s="83" t="s">
        <v>745</v>
      </c>
      <c r="D17" s="83" t="s">
        <v>286</v>
      </c>
      <c r="E17" s="83" t="s">
        <v>54</v>
      </c>
      <c r="F17" s="78">
        <v>1</v>
      </c>
      <c r="G17" s="79">
        <v>3</v>
      </c>
      <c r="H17" s="60">
        <f t="shared" si="0"/>
        <v>2</v>
      </c>
      <c r="I17" s="80" t="s">
        <v>746</v>
      </c>
      <c r="J17" s="83" t="s">
        <v>747</v>
      </c>
    </row>
    <row r="18" spans="1:10" ht="42" customHeight="1" x14ac:dyDescent="0.3">
      <c r="A18" s="41" t="s">
        <v>69</v>
      </c>
      <c r="B18" s="84" t="s">
        <v>748</v>
      </c>
      <c r="C18" s="84" t="s">
        <v>749</v>
      </c>
      <c r="D18" s="84" t="s">
        <v>332</v>
      </c>
      <c r="E18" s="84" t="s">
        <v>74</v>
      </c>
      <c r="F18" s="81">
        <v>3</v>
      </c>
      <c r="G18" s="79">
        <v>5</v>
      </c>
      <c r="H18" s="60">
        <f t="shared" si="0"/>
        <v>2</v>
      </c>
      <c r="I18" s="80" t="s">
        <v>750</v>
      </c>
      <c r="J18" s="84" t="s">
        <v>751</v>
      </c>
    </row>
    <row r="19" spans="1:10" ht="42" customHeight="1" x14ac:dyDescent="0.3">
      <c r="A19" s="41" t="s">
        <v>69</v>
      </c>
      <c r="B19" s="84" t="s">
        <v>752</v>
      </c>
      <c r="C19" s="84" t="s">
        <v>753</v>
      </c>
      <c r="D19" s="84" t="s">
        <v>324</v>
      </c>
      <c r="E19" s="84" t="s">
        <v>74</v>
      </c>
      <c r="F19" s="85">
        <v>4</v>
      </c>
      <c r="G19" s="79">
        <v>5</v>
      </c>
      <c r="H19" s="56">
        <f t="shared" si="0"/>
        <v>1</v>
      </c>
      <c r="I19" s="80" t="s">
        <v>754</v>
      </c>
      <c r="J19" s="84" t="s">
        <v>755</v>
      </c>
    </row>
    <row r="20" spans="1:10" ht="42" customHeight="1" x14ac:dyDescent="0.3">
      <c r="A20" s="41" t="s">
        <v>69</v>
      </c>
      <c r="B20" s="84" t="s">
        <v>756</v>
      </c>
      <c r="C20" s="84" t="s">
        <v>757</v>
      </c>
      <c r="D20" s="84" t="s">
        <v>338</v>
      </c>
      <c r="E20" s="84" t="s">
        <v>81</v>
      </c>
      <c r="F20" s="78">
        <v>1</v>
      </c>
      <c r="G20" s="79">
        <v>3</v>
      </c>
      <c r="H20" s="60">
        <f t="shared" si="0"/>
        <v>2</v>
      </c>
      <c r="I20" s="80" t="s">
        <v>758</v>
      </c>
      <c r="J20" s="84" t="s">
        <v>759</v>
      </c>
    </row>
    <row r="21" spans="1:10" ht="42" customHeight="1" x14ac:dyDescent="0.3">
      <c r="A21" s="43" t="s">
        <v>76</v>
      </c>
      <c r="B21" s="82" t="s">
        <v>760</v>
      </c>
      <c r="C21" s="82" t="s">
        <v>761</v>
      </c>
      <c r="D21" s="82" t="s">
        <v>108</v>
      </c>
      <c r="E21" s="82" t="s">
        <v>81</v>
      </c>
      <c r="F21" s="78">
        <v>2</v>
      </c>
      <c r="G21" s="79">
        <v>4</v>
      </c>
      <c r="H21" s="60">
        <f t="shared" si="0"/>
        <v>2</v>
      </c>
      <c r="I21" s="80" t="s">
        <v>762</v>
      </c>
      <c r="J21" s="82" t="s">
        <v>763</v>
      </c>
    </row>
    <row r="22" spans="1:10" ht="42" customHeight="1" x14ac:dyDescent="0.3">
      <c r="A22" s="43" t="s">
        <v>76</v>
      </c>
      <c r="B22" s="82" t="s">
        <v>764</v>
      </c>
      <c r="C22" s="82" t="s">
        <v>765</v>
      </c>
      <c r="D22" s="82" t="s">
        <v>108</v>
      </c>
      <c r="E22" s="82" t="s">
        <v>81</v>
      </c>
      <c r="F22" s="81">
        <v>3</v>
      </c>
      <c r="G22" s="79">
        <v>5</v>
      </c>
      <c r="H22" s="60">
        <f t="shared" si="0"/>
        <v>2</v>
      </c>
      <c r="I22" s="80" t="s">
        <v>766</v>
      </c>
      <c r="J22" s="82" t="s">
        <v>767</v>
      </c>
    </row>
    <row r="23" spans="1:10" ht="42" customHeight="1" x14ac:dyDescent="0.3">
      <c r="A23" s="43" t="s">
        <v>76</v>
      </c>
      <c r="B23" s="82" t="s">
        <v>622</v>
      </c>
      <c r="C23" s="82" t="s">
        <v>768</v>
      </c>
      <c r="D23" s="82" t="s">
        <v>379</v>
      </c>
      <c r="E23" s="82" t="s">
        <v>81</v>
      </c>
      <c r="F23" s="78">
        <v>1</v>
      </c>
      <c r="G23" s="79">
        <v>3</v>
      </c>
      <c r="H23" s="60">
        <f t="shared" si="0"/>
        <v>2</v>
      </c>
      <c r="I23" s="80" t="s">
        <v>682</v>
      </c>
      <c r="J23" s="82" t="s">
        <v>769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zoomScaleNormal="100" workbookViewId="0">
      <pane xSplit="1" ySplit="2" topLeftCell="B13" activePane="bottomRight" state="frozen"/>
      <selection pane="topRight" activeCell="B1" sqref="B1"/>
      <selection pane="bottomLeft" activeCell="A3" sqref="A3"/>
      <selection pane="bottomRight" sqref="A1:I21"/>
    </sheetView>
  </sheetViews>
  <sheetFormatPr baseColWidth="10" defaultColWidth="8.6640625" defaultRowHeight="14.4" x14ac:dyDescent="0.3"/>
  <cols>
    <col min="1" max="1" width="14" customWidth="1"/>
    <col min="2" max="2" width="32" customWidth="1"/>
    <col min="3" max="4" width="36" customWidth="1"/>
    <col min="5" max="5" width="12" customWidth="1"/>
    <col min="6" max="6" width="14" customWidth="1"/>
    <col min="7" max="7" width="22" customWidth="1"/>
    <col min="8" max="8" width="14" customWidth="1"/>
    <col min="9" max="9" width="28" customWidth="1"/>
  </cols>
  <sheetData>
    <row r="1" spans="1:9" ht="24" customHeight="1" x14ac:dyDescent="0.3">
      <c r="A1" s="97" t="s">
        <v>581</v>
      </c>
      <c r="B1" s="97"/>
      <c r="C1" s="97"/>
      <c r="D1" s="97"/>
      <c r="E1" s="97"/>
      <c r="F1" s="97"/>
      <c r="G1" s="97"/>
      <c r="H1" s="97"/>
      <c r="I1" s="97"/>
    </row>
    <row r="2" spans="1:9" ht="27.75" customHeight="1" x14ac:dyDescent="0.3">
      <c r="A2" s="8" t="s">
        <v>582</v>
      </c>
      <c r="B2" s="8" t="s">
        <v>583</v>
      </c>
      <c r="C2" s="8" t="s">
        <v>584</v>
      </c>
      <c r="D2" s="8" t="s">
        <v>585</v>
      </c>
      <c r="E2" s="8" t="s">
        <v>586</v>
      </c>
      <c r="F2" s="8" t="s">
        <v>587</v>
      </c>
      <c r="G2" s="8" t="s">
        <v>588</v>
      </c>
      <c r="H2" s="8" t="s">
        <v>589</v>
      </c>
      <c r="I2" s="8" t="s">
        <v>590</v>
      </c>
    </row>
    <row r="3" spans="1:9" ht="39.75" customHeight="1" x14ac:dyDescent="0.3">
      <c r="A3" s="70" t="s">
        <v>43</v>
      </c>
      <c r="B3" s="71" t="s">
        <v>591</v>
      </c>
      <c r="C3" s="71" t="s">
        <v>592</v>
      </c>
      <c r="D3" s="71" t="s">
        <v>593</v>
      </c>
      <c r="E3" s="71" t="s">
        <v>108</v>
      </c>
      <c r="F3" s="71" t="s">
        <v>107</v>
      </c>
      <c r="G3" s="71" t="s">
        <v>594</v>
      </c>
      <c r="H3" s="34" t="s">
        <v>595</v>
      </c>
      <c r="I3" s="71" t="s">
        <v>596</v>
      </c>
    </row>
    <row r="4" spans="1:9" ht="39.75" customHeight="1" x14ac:dyDescent="0.3">
      <c r="A4" s="70" t="s">
        <v>43</v>
      </c>
      <c r="B4" s="72" t="s">
        <v>597</v>
      </c>
      <c r="C4" s="72" t="s">
        <v>598</v>
      </c>
      <c r="D4" s="72" t="s">
        <v>599</v>
      </c>
      <c r="E4" s="72" t="s">
        <v>108</v>
      </c>
      <c r="F4" s="72" t="s">
        <v>134</v>
      </c>
      <c r="G4" s="72" t="s">
        <v>600</v>
      </c>
      <c r="H4" s="34" t="s">
        <v>595</v>
      </c>
      <c r="I4" s="72" t="s">
        <v>596</v>
      </c>
    </row>
    <row r="5" spans="1:9" ht="39.75" customHeight="1" x14ac:dyDescent="0.3">
      <c r="A5" s="70" t="s">
        <v>43</v>
      </c>
      <c r="B5" s="71" t="s">
        <v>601</v>
      </c>
      <c r="C5" s="71" t="s">
        <v>602</v>
      </c>
      <c r="D5" s="71" t="s">
        <v>603</v>
      </c>
      <c r="E5" s="71" t="s">
        <v>54</v>
      </c>
      <c r="F5" s="71" t="s">
        <v>176</v>
      </c>
      <c r="G5" s="71" t="s">
        <v>604</v>
      </c>
      <c r="H5" s="33" t="s">
        <v>605</v>
      </c>
      <c r="I5" s="71" t="s">
        <v>606</v>
      </c>
    </row>
    <row r="6" spans="1:9" ht="39.75" customHeight="1" x14ac:dyDescent="0.3">
      <c r="A6" s="70" t="s">
        <v>43</v>
      </c>
      <c r="B6" s="72" t="s">
        <v>607</v>
      </c>
      <c r="C6" s="72" t="s">
        <v>608</v>
      </c>
      <c r="D6" s="72" t="s">
        <v>609</v>
      </c>
      <c r="E6" s="72" t="s">
        <v>189</v>
      </c>
      <c r="F6" s="72" t="s">
        <v>176</v>
      </c>
      <c r="G6" s="72" t="s">
        <v>610</v>
      </c>
      <c r="H6" s="32" t="s">
        <v>611</v>
      </c>
      <c r="I6" s="72" t="s">
        <v>612</v>
      </c>
    </row>
    <row r="7" spans="1:9" ht="39.75" customHeight="1" x14ac:dyDescent="0.3">
      <c r="A7" s="73" t="s">
        <v>50</v>
      </c>
      <c r="B7" s="71" t="s">
        <v>613</v>
      </c>
      <c r="C7" s="71" t="s">
        <v>614</v>
      </c>
      <c r="D7" s="71" t="s">
        <v>615</v>
      </c>
      <c r="E7" s="71" t="s">
        <v>54</v>
      </c>
      <c r="F7" s="71" t="s">
        <v>188</v>
      </c>
      <c r="G7" s="71" t="s">
        <v>616</v>
      </c>
      <c r="H7" s="34" t="s">
        <v>595</v>
      </c>
      <c r="I7" s="71" t="s">
        <v>596</v>
      </c>
    </row>
    <row r="8" spans="1:9" ht="39.75" customHeight="1" x14ac:dyDescent="0.3">
      <c r="A8" s="73" t="s">
        <v>50</v>
      </c>
      <c r="B8" s="72" t="s">
        <v>617</v>
      </c>
      <c r="C8" s="72" t="s">
        <v>618</v>
      </c>
      <c r="D8" s="72" t="s">
        <v>619</v>
      </c>
      <c r="E8" s="72" t="s">
        <v>54</v>
      </c>
      <c r="F8" s="72" t="s">
        <v>182</v>
      </c>
      <c r="G8" s="72" t="s">
        <v>620</v>
      </c>
      <c r="H8" s="33" t="s">
        <v>605</v>
      </c>
      <c r="I8" s="72" t="s">
        <v>621</v>
      </c>
    </row>
    <row r="9" spans="1:9" ht="39.75" customHeight="1" x14ac:dyDescent="0.3">
      <c r="A9" s="73" t="s">
        <v>50</v>
      </c>
      <c r="B9" s="71" t="s">
        <v>622</v>
      </c>
      <c r="C9" s="71" t="s">
        <v>623</v>
      </c>
      <c r="D9" s="71" t="s">
        <v>624</v>
      </c>
      <c r="E9" s="71" t="s">
        <v>119</v>
      </c>
      <c r="F9" s="71" t="s">
        <v>379</v>
      </c>
      <c r="G9" s="71" t="s">
        <v>625</v>
      </c>
      <c r="H9" s="32" t="s">
        <v>611</v>
      </c>
      <c r="I9" s="71" t="s">
        <v>626</v>
      </c>
    </row>
    <row r="10" spans="1:9" ht="39.75" customHeight="1" x14ac:dyDescent="0.3">
      <c r="A10" s="74" t="s">
        <v>57</v>
      </c>
      <c r="B10" s="72" t="s">
        <v>627</v>
      </c>
      <c r="C10" s="72" t="s">
        <v>628</v>
      </c>
      <c r="D10" s="72" t="s">
        <v>629</v>
      </c>
      <c r="E10" s="72" t="s">
        <v>226</v>
      </c>
      <c r="F10" s="72" t="s">
        <v>225</v>
      </c>
      <c r="G10" s="72" t="s">
        <v>630</v>
      </c>
      <c r="H10" s="34" t="s">
        <v>595</v>
      </c>
      <c r="I10" s="72" t="s">
        <v>596</v>
      </c>
    </row>
    <row r="11" spans="1:9" ht="39.75" customHeight="1" x14ac:dyDescent="0.3">
      <c r="A11" s="74" t="s">
        <v>57</v>
      </c>
      <c r="B11" s="71" t="s">
        <v>631</v>
      </c>
      <c r="C11" s="71" t="s">
        <v>632</v>
      </c>
      <c r="D11" s="71" t="s">
        <v>633</v>
      </c>
      <c r="E11" s="71" t="s">
        <v>219</v>
      </c>
      <c r="F11" s="71" t="s">
        <v>218</v>
      </c>
      <c r="G11" s="71" t="s">
        <v>634</v>
      </c>
      <c r="H11" s="33" t="s">
        <v>605</v>
      </c>
      <c r="I11" s="71" t="s">
        <v>635</v>
      </c>
    </row>
    <row r="12" spans="1:9" ht="39.75" customHeight="1" x14ac:dyDescent="0.3">
      <c r="A12" s="74" t="s">
        <v>57</v>
      </c>
      <c r="B12" s="72" t="s">
        <v>636</v>
      </c>
      <c r="C12" s="72" t="s">
        <v>637</v>
      </c>
      <c r="D12" s="72" t="s">
        <v>638</v>
      </c>
      <c r="E12" s="72" t="s">
        <v>226</v>
      </c>
      <c r="F12" s="72" t="s">
        <v>225</v>
      </c>
      <c r="G12" s="72" t="s">
        <v>639</v>
      </c>
      <c r="H12" s="33" t="s">
        <v>605</v>
      </c>
      <c r="I12" s="72" t="s">
        <v>640</v>
      </c>
    </row>
    <row r="13" spans="1:9" ht="39.75" customHeight="1" x14ac:dyDescent="0.3">
      <c r="A13" s="74" t="s">
        <v>57</v>
      </c>
      <c r="B13" s="71" t="s">
        <v>641</v>
      </c>
      <c r="C13" s="71" t="s">
        <v>642</v>
      </c>
      <c r="D13" s="71" t="s">
        <v>643</v>
      </c>
      <c r="E13" s="71" t="s">
        <v>235</v>
      </c>
      <c r="F13" s="71" t="s">
        <v>225</v>
      </c>
      <c r="G13" s="71" t="s">
        <v>644</v>
      </c>
      <c r="H13" s="34" t="s">
        <v>595</v>
      </c>
      <c r="I13" s="71" t="s">
        <v>596</v>
      </c>
    </row>
    <row r="14" spans="1:9" ht="39.75" customHeight="1" x14ac:dyDescent="0.3">
      <c r="A14" s="74" t="s">
        <v>57</v>
      </c>
      <c r="B14" s="72" t="s">
        <v>645</v>
      </c>
      <c r="C14" s="72" t="s">
        <v>646</v>
      </c>
      <c r="D14" s="72" t="s">
        <v>647</v>
      </c>
      <c r="E14" s="72" t="s">
        <v>235</v>
      </c>
      <c r="F14" s="72" t="s">
        <v>225</v>
      </c>
      <c r="G14" s="72" t="s">
        <v>648</v>
      </c>
      <c r="H14" s="33" t="s">
        <v>605</v>
      </c>
      <c r="I14" s="72" t="s">
        <v>649</v>
      </c>
    </row>
    <row r="15" spans="1:9" ht="39.75" customHeight="1" x14ac:dyDescent="0.3">
      <c r="A15" s="75" t="s">
        <v>64</v>
      </c>
      <c r="B15" s="71" t="s">
        <v>650</v>
      </c>
      <c r="C15" s="71" t="s">
        <v>651</v>
      </c>
      <c r="D15" s="71" t="s">
        <v>652</v>
      </c>
      <c r="E15" s="71" t="s">
        <v>54</v>
      </c>
      <c r="F15" s="71" t="s">
        <v>270</v>
      </c>
      <c r="G15" s="71" t="s">
        <v>653</v>
      </c>
      <c r="H15" s="34" t="s">
        <v>595</v>
      </c>
      <c r="I15" s="71" t="s">
        <v>596</v>
      </c>
    </row>
    <row r="16" spans="1:9" ht="39.75" customHeight="1" x14ac:dyDescent="0.3">
      <c r="A16" s="75" t="s">
        <v>64</v>
      </c>
      <c r="B16" s="72" t="s">
        <v>654</v>
      </c>
      <c r="C16" s="72" t="s">
        <v>655</v>
      </c>
      <c r="D16" s="72" t="s">
        <v>656</v>
      </c>
      <c r="E16" s="72" t="s">
        <v>54</v>
      </c>
      <c r="F16" s="72" t="s">
        <v>270</v>
      </c>
      <c r="G16" s="72" t="s">
        <v>657</v>
      </c>
      <c r="H16" s="33" t="s">
        <v>605</v>
      </c>
      <c r="I16" s="72" t="s">
        <v>658</v>
      </c>
    </row>
    <row r="17" spans="1:9" ht="39.75" customHeight="1" x14ac:dyDescent="0.3">
      <c r="A17" s="35" t="s">
        <v>70</v>
      </c>
      <c r="B17" s="71" t="s">
        <v>659</v>
      </c>
      <c r="C17" s="71" t="s">
        <v>660</v>
      </c>
      <c r="D17" s="71" t="s">
        <v>661</v>
      </c>
      <c r="E17" s="71" t="s">
        <v>74</v>
      </c>
      <c r="F17" s="71" t="s">
        <v>662</v>
      </c>
      <c r="G17" s="71" t="s">
        <v>663</v>
      </c>
      <c r="H17" s="34" t="s">
        <v>595</v>
      </c>
      <c r="I17" s="71" t="s">
        <v>596</v>
      </c>
    </row>
    <row r="18" spans="1:9" ht="39.75" customHeight="1" x14ac:dyDescent="0.3">
      <c r="A18" s="35" t="s">
        <v>70</v>
      </c>
      <c r="B18" s="72" t="s">
        <v>664</v>
      </c>
      <c r="C18" s="72" t="s">
        <v>665</v>
      </c>
      <c r="D18" s="72" t="s">
        <v>666</v>
      </c>
      <c r="E18" s="72" t="s">
        <v>74</v>
      </c>
      <c r="F18" s="72" t="s">
        <v>324</v>
      </c>
      <c r="G18" s="72" t="s">
        <v>667</v>
      </c>
      <c r="H18" s="34" t="s">
        <v>595</v>
      </c>
      <c r="I18" s="72" t="s">
        <v>596</v>
      </c>
    </row>
    <row r="19" spans="1:9" ht="39.75" customHeight="1" x14ac:dyDescent="0.3">
      <c r="A19" s="35" t="s">
        <v>70</v>
      </c>
      <c r="B19" s="71" t="s">
        <v>668</v>
      </c>
      <c r="C19" s="71" t="s">
        <v>669</v>
      </c>
      <c r="D19" s="71" t="s">
        <v>670</v>
      </c>
      <c r="E19" s="71" t="s">
        <v>74</v>
      </c>
      <c r="F19" s="71" t="s">
        <v>332</v>
      </c>
      <c r="G19" s="71" t="s">
        <v>671</v>
      </c>
      <c r="H19" s="33" t="s">
        <v>605</v>
      </c>
      <c r="I19" s="71" t="s">
        <v>672</v>
      </c>
    </row>
    <row r="20" spans="1:9" ht="39.75" customHeight="1" x14ac:dyDescent="0.3">
      <c r="A20" s="76" t="s">
        <v>77</v>
      </c>
      <c r="B20" s="72" t="s">
        <v>673</v>
      </c>
      <c r="C20" s="72" t="s">
        <v>674</v>
      </c>
      <c r="D20" s="72" t="s">
        <v>675</v>
      </c>
      <c r="E20" s="72" t="s">
        <v>81</v>
      </c>
      <c r="F20" s="72" t="s">
        <v>108</v>
      </c>
      <c r="G20" s="72" t="s">
        <v>676</v>
      </c>
      <c r="H20" s="33" t="s">
        <v>605</v>
      </c>
      <c r="I20" s="72" t="s">
        <v>677</v>
      </c>
    </row>
    <row r="21" spans="1:9" ht="39.75" customHeight="1" x14ac:dyDescent="0.3">
      <c r="A21" s="76" t="s">
        <v>77</v>
      </c>
      <c r="B21" s="71" t="s">
        <v>678</v>
      </c>
      <c r="C21" s="71" t="s">
        <v>679</v>
      </c>
      <c r="D21" s="71" t="s">
        <v>680</v>
      </c>
      <c r="E21" s="71" t="s">
        <v>81</v>
      </c>
      <c r="F21" s="71" t="s">
        <v>379</v>
      </c>
      <c r="G21" s="71" t="s">
        <v>681</v>
      </c>
      <c r="H21" s="32" t="s">
        <v>611</v>
      </c>
      <c r="I21" s="71" t="s">
        <v>682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topLeftCell="A15" zoomScaleNormal="100" workbookViewId="0">
      <selection sqref="A1:D1"/>
    </sheetView>
  </sheetViews>
  <sheetFormatPr baseColWidth="10" defaultColWidth="8.6640625" defaultRowHeight="14.4" x14ac:dyDescent="0.3"/>
  <cols>
    <col min="1" max="1" width="12" customWidth="1"/>
    <col min="2" max="2" width="48" customWidth="1"/>
    <col min="3" max="3" width="60" customWidth="1"/>
    <col min="4" max="4" width="28" customWidth="1"/>
  </cols>
  <sheetData>
    <row r="1" spans="1:4" ht="24" customHeight="1" x14ac:dyDescent="0.3">
      <c r="A1" s="97" t="s">
        <v>770</v>
      </c>
      <c r="B1" s="97"/>
      <c r="C1" s="97"/>
      <c r="D1" s="97"/>
    </row>
    <row r="2" spans="1:4" ht="19.5" customHeight="1" x14ac:dyDescent="0.3">
      <c r="A2" s="8" t="s">
        <v>771</v>
      </c>
      <c r="B2" s="8" t="s">
        <v>772</v>
      </c>
      <c r="C2" s="8" t="s">
        <v>773</v>
      </c>
      <c r="D2" s="8" t="s">
        <v>774</v>
      </c>
    </row>
    <row r="3" spans="1:4" ht="37.5" customHeight="1" x14ac:dyDescent="0.3">
      <c r="A3" s="63" t="s">
        <v>98</v>
      </c>
      <c r="B3" s="86" t="s">
        <v>775</v>
      </c>
      <c r="C3" s="87" t="s">
        <v>776</v>
      </c>
      <c r="D3" s="87" t="s">
        <v>777</v>
      </c>
    </row>
    <row r="4" spans="1:4" ht="37.5" customHeight="1" x14ac:dyDescent="0.3">
      <c r="A4" s="63" t="s">
        <v>136</v>
      </c>
      <c r="B4" s="88" t="s">
        <v>778</v>
      </c>
      <c r="C4" s="89" t="s">
        <v>779</v>
      </c>
      <c r="D4" s="89" t="s">
        <v>780</v>
      </c>
    </row>
    <row r="5" spans="1:4" ht="37.5" customHeight="1" x14ac:dyDescent="0.3">
      <c r="A5" s="63" t="s">
        <v>781</v>
      </c>
      <c r="B5" s="86" t="s">
        <v>782</v>
      </c>
      <c r="C5" s="87" t="s">
        <v>783</v>
      </c>
      <c r="D5" s="87" t="s">
        <v>784</v>
      </c>
    </row>
    <row r="6" spans="1:4" ht="37.5" customHeight="1" x14ac:dyDescent="0.3">
      <c r="A6" s="63" t="s">
        <v>688</v>
      </c>
      <c r="B6" s="88" t="s">
        <v>785</v>
      </c>
      <c r="C6" s="89" t="s">
        <v>786</v>
      </c>
      <c r="D6" s="89" t="s">
        <v>787</v>
      </c>
    </row>
    <row r="7" spans="1:4" ht="37.5" customHeight="1" x14ac:dyDescent="0.3">
      <c r="A7" s="63" t="s">
        <v>687</v>
      </c>
      <c r="B7" s="86" t="s">
        <v>788</v>
      </c>
      <c r="C7" s="87" t="s">
        <v>789</v>
      </c>
      <c r="D7" s="87" t="s">
        <v>790</v>
      </c>
    </row>
    <row r="8" spans="1:4" ht="37.5" customHeight="1" x14ac:dyDescent="0.3">
      <c r="A8" s="63" t="s">
        <v>791</v>
      </c>
      <c r="B8" s="88" t="s">
        <v>792</v>
      </c>
      <c r="C8" s="89" t="s">
        <v>793</v>
      </c>
      <c r="D8" s="89" t="s">
        <v>794</v>
      </c>
    </row>
    <row r="9" spans="1:4" ht="37.5" customHeight="1" x14ac:dyDescent="0.3">
      <c r="A9" s="63" t="s">
        <v>300</v>
      </c>
      <c r="B9" s="86" t="s">
        <v>795</v>
      </c>
      <c r="C9" s="87" t="s">
        <v>796</v>
      </c>
      <c r="D9" s="87" t="s">
        <v>797</v>
      </c>
    </row>
    <row r="10" spans="1:4" ht="37.5" customHeight="1" x14ac:dyDescent="0.3">
      <c r="A10" s="63" t="s">
        <v>798</v>
      </c>
      <c r="B10" s="88" t="s">
        <v>799</v>
      </c>
      <c r="C10" s="89" t="s">
        <v>800</v>
      </c>
      <c r="D10" s="89" t="s">
        <v>801</v>
      </c>
    </row>
    <row r="11" spans="1:4" ht="37.5" customHeight="1" x14ac:dyDescent="0.3">
      <c r="A11" s="63" t="s">
        <v>802</v>
      </c>
      <c r="B11" s="86" t="s">
        <v>803</v>
      </c>
      <c r="C11" s="87" t="s">
        <v>804</v>
      </c>
      <c r="D11" s="87" t="s">
        <v>805</v>
      </c>
    </row>
    <row r="12" spans="1:4" ht="37.5" customHeight="1" x14ac:dyDescent="0.3">
      <c r="A12" s="63" t="s">
        <v>806</v>
      </c>
      <c r="B12" s="88" t="s">
        <v>807</v>
      </c>
      <c r="C12" s="89" t="s">
        <v>808</v>
      </c>
      <c r="D12" s="89" t="s">
        <v>809</v>
      </c>
    </row>
    <row r="13" spans="1:4" ht="37.5" customHeight="1" x14ac:dyDescent="0.3">
      <c r="A13" s="63" t="s">
        <v>810</v>
      </c>
      <c r="B13" s="86" t="s">
        <v>811</v>
      </c>
      <c r="C13" s="87" t="s">
        <v>812</v>
      </c>
      <c r="D13" s="87" t="s">
        <v>813</v>
      </c>
    </row>
    <row r="14" spans="1:4" ht="37.5" customHeight="1" x14ac:dyDescent="0.3">
      <c r="A14" s="63" t="s">
        <v>814</v>
      </c>
      <c r="B14" s="88" t="s">
        <v>815</v>
      </c>
      <c r="C14" s="89" t="s">
        <v>816</v>
      </c>
      <c r="D14" s="89" t="s">
        <v>817</v>
      </c>
    </row>
    <row r="15" spans="1:4" ht="37.5" customHeight="1" x14ac:dyDescent="0.3">
      <c r="A15" s="63" t="s">
        <v>818</v>
      </c>
      <c r="B15" s="86" t="s">
        <v>819</v>
      </c>
      <c r="C15" s="87" t="s">
        <v>820</v>
      </c>
      <c r="D15" s="87" t="s">
        <v>821</v>
      </c>
    </row>
    <row r="16" spans="1:4" ht="37.5" customHeight="1" x14ac:dyDescent="0.3">
      <c r="A16" s="63" t="s">
        <v>822</v>
      </c>
      <c r="B16" s="88" t="s">
        <v>823</v>
      </c>
      <c r="C16" s="89" t="s">
        <v>824</v>
      </c>
      <c r="D16" s="89" t="s">
        <v>825</v>
      </c>
    </row>
    <row r="17" spans="1:4" ht="37.5" customHeight="1" x14ac:dyDescent="0.3">
      <c r="A17" s="63" t="s">
        <v>826</v>
      </c>
      <c r="B17" s="86" t="s">
        <v>827</v>
      </c>
      <c r="C17" s="87" t="s">
        <v>828</v>
      </c>
      <c r="D17" s="87" t="s">
        <v>829</v>
      </c>
    </row>
    <row r="18" spans="1:4" ht="37.5" customHeight="1" x14ac:dyDescent="0.3">
      <c r="A18" s="63" t="s">
        <v>830</v>
      </c>
      <c r="B18" s="88" t="s">
        <v>831</v>
      </c>
      <c r="C18" s="89" t="s">
        <v>832</v>
      </c>
      <c r="D18" s="89" t="s">
        <v>833</v>
      </c>
    </row>
    <row r="19" spans="1:4" ht="37.5" customHeight="1" x14ac:dyDescent="0.3">
      <c r="A19" s="63" t="s">
        <v>834</v>
      </c>
      <c r="B19" s="86" t="s">
        <v>835</v>
      </c>
      <c r="C19" s="87" t="s">
        <v>836</v>
      </c>
      <c r="D19" s="87" t="s">
        <v>837</v>
      </c>
    </row>
    <row r="20" spans="1:4" ht="37.5" customHeight="1" x14ac:dyDescent="0.3">
      <c r="A20" s="63" t="s">
        <v>838</v>
      </c>
      <c r="B20" s="88" t="s">
        <v>839</v>
      </c>
      <c r="C20" s="89" t="s">
        <v>840</v>
      </c>
      <c r="D20" s="89" t="s">
        <v>841</v>
      </c>
    </row>
    <row r="21" spans="1:4" ht="37.5" customHeight="1" x14ac:dyDescent="0.3">
      <c r="A21" s="63" t="s">
        <v>842</v>
      </c>
      <c r="B21" s="86" t="s">
        <v>843</v>
      </c>
      <c r="C21" s="87" t="s">
        <v>844</v>
      </c>
      <c r="D21" s="87" t="s">
        <v>613</v>
      </c>
    </row>
    <row r="22" spans="1:4" ht="37.5" customHeight="1" x14ac:dyDescent="0.3">
      <c r="A22" s="63" t="s">
        <v>845</v>
      </c>
      <c r="B22" s="88" t="s">
        <v>846</v>
      </c>
      <c r="C22" s="89" t="s">
        <v>847</v>
      </c>
      <c r="D22" s="89" t="s">
        <v>848</v>
      </c>
    </row>
    <row r="23" spans="1:4" ht="37.5" customHeight="1" x14ac:dyDescent="0.3">
      <c r="A23" s="63" t="s">
        <v>849</v>
      </c>
      <c r="B23" s="86" t="s">
        <v>850</v>
      </c>
      <c r="C23" s="87" t="s">
        <v>851</v>
      </c>
      <c r="D23" s="87" t="s">
        <v>852</v>
      </c>
    </row>
    <row r="24" spans="1:4" ht="37.5" customHeight="1" x14ac:dyDescent="0.3">
      <c r="A24" s="63" t="s">
        <v>853</v>
      </c>
      <c r="B24" s="88" t="s">
        <v>854</v>
      </c>
      <c r="C24" s="89" t="s">
        <v>855</v>
      </c>
      <c r="D24" s="89" t="s">
        <v>805</v>
      </c>
    </row>
    <row r="25" spans="1:4" ht="37.5" customHeight="1" x14ac:dyDescent="0.3">
      <c r="A25" s="63" t="s">
        <v>856</v>
      </c>
      <c r="B25" s="86" t="s">
        <v>857</v>
      </c>
      <c r="C25" s="87" t="s">
        <v>858</v>
      </c>
      <c r="D25" s="87" t="s">
        <v>859</v>
      </c>
    </row>
    <row r="26" spans="1:4" ht="37.5" customHeight="1" x14ac:dyDescent="0.3">
      <c r="A26" s="63" t="s">
        <v>860</v>
      </c>
      <c r="B26" s="88" t="s">
        <v>861</v>
      </c>
      <c r="C26" s="89" t="s">
        <v>862</v>
      </c>
      <c r="D26" s="89" t="s">
        <v>863</v>
      </c>
    </row>
    <row r="27" spans="1:4" ht="37.5" customHeight="1" x14ac:dyDescent="0.3">
      <c r="A27" s="63" t="s">
        <v>864</v>
      </c>
      <c r="B27" s="86" t="s">
        <v>865</v>
      </c>
      <c r="C27" s="87" t="s">
        <v>866</v>
      </c>
      <c r="D27" s="87" t="s">
        <v>867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8" sqref="C8"/>
    </sheetView>
  </sheetViews>
  <sheetFormatPr baseColWidth="10" defaultColWidth="28.33203125" defaultRowHeight="42.6" customHeight="1" x14ac:dyDescent="0.3"/>
  <cols>
    <col min="3" max="3" width="40.88671875" customWidth="1"/>
  </cols>
  <sheetData>
    <row r="1" spans="1:3" ht="42.6" customHeight="1" x14ac:dyDescent="0.3">
      <c r="A1" s="100" t="s">
        <v>877</v>
      </c>
      <c r="B1" s="100" t="s">
        <v>878</v>
      </c>
      <c r="C1" s="100" t="s">
        <v>879</v>
      </c>
    </row>
    <row r="2" spans="1:3" ht="79.8" customHeight="1" x14ac:dyDescent="0.3">
      <c r="A2" s="98" t="s">
        <v>46</v>
      </c>
      <c r="B2" s="99" t="s">
        <v>880</v>
      </c>
      <c r="C2" s="101" t="s">
        <v>881</v>
      </c>
    </row>
    <row r="3" spans="1:3" ht="61.2" customHeight="1" x14ac:dyDescent="0.3">
      <c r="A3" s="98" t="s">
        <v>53</v>
      </c>
      <c r="B3" s="99" t="s">
        <v>882</v>
      </c>
      <c r="C3" s="101" t="s">
        <v>883</v>
      </c>
    </row>
    <row r="4" spans="1:3" ht="65.400000000000006" customHeight="1" x14ac:dyDescent="0.3">
      <c r="A4" s="98" t="s">
        <v>60</v>
      </c>
      <c r="B4" s="99" t="s">
        <v>884</v>
      </c>
      <c r="C4" s="101" t="s">
        <v>885</v>
      </c>
    </row>
    <row r="5" spans="1:3" ht="55.8" customHeight="1" x14ac:dyDescent="0.3">
      <c r="A5" s="98" t="s">
        <v>67</v>
      </c>
      <c r="B5" s="99" t="s">
        <v>886</v>
      </c>
      <c r="C5" s="101" t="s">
        <v>887</v>
      </c>
    </row>
    <row r="6" spans="1:3" ht="58.2" customHeight="1" x14ac:dyDescent="0.3">
      <c r="A6" s="98" t="s">
        <v>73</v>
      </c>
      <c r="B6" s="99" t="s">
        <v>888</v>
      </c>
      <c r="C6" s="101" t="s">
        <v>889</v>
      </c>
    </row>
    <row r="7" spans="1:3" ht="58.8" customHeight="1" x14ac:dyDescent="0.3">
      <c r="A7" s="98" t="s">
        <v>80</v>
      </c>
      <c r="B7" s="99" t="s">
        <v>890</v>
      </c>
      <c r="C7" s="101" t="s">
        <v>891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📋 Inicio</vt:lpstr>
      <vt:lpstr>🗺️ Dominios</vt:lpstr>
      <vt:lpstr>📊 KPI_KRI</vt:lpstr>
      <vt:lpstr>🟢 Dashboard</vt:lpstr>
      <vt:lpstr>⚖️ Ley_21663</vt:lpstr>
      <vt:lpstr>📝 Auditoria_Gap</vt:lpstr>
      <vt:lpstr>🔗 NIST_NIS2_Xwalk</vt:lpstr>
      <vt:lpstr>📖 Glosario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octavio.soto</cp:lastModifiedBy>
  <cp:revision>0</cp:revision>
  <dcterms:created xsi:type="dcterms:W3CDTF">2026-06-25T21:59:02Z</dcterms:created>
  <dcterms:modified xsi:type="dcterms:W3CDTF">2026-06-27T15:07:20Z</dcterms:modified>
  <dc:language>en-US</dc:language>
</cp:coreProperties>
</file>